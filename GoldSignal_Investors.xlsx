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vestor Index" sheetId="1" state="visible" r:id="rId3"/>
    <sheet name="Peter Schiff" sheetId="2" state="visible" r:id="rId4"/>
    <sheet name="Eric Sprott" sheetId="3" state="visible" r:id="rId5"/>
    <sheet name="Sprott Asset Management Funds" sheetId="4" state="visible" r:id="rId6"/>
    <sheet name="Ross Beaty" sheetId="5" state="visible" r:id="rId7"/>
    <sheet name="Frank Giustra" sheetId="6" state="visible" r:id="rId8"/>
    <sheet name="Rick Rule" sheetId="7" state="visible" r:id="rId9"/>
    <sheet name="John Hathaway" sheetId="8" state="visible" r:id="rId10"/>
    <sheet name="Ned Naylor-Leyland" sheetId="9" state="visible" r:id="rId11"/>
    <sheet name="Pierre Lassonde" sheetId="10" state="visible" r:id="rId12"/>
    <sheet name="Doug Casey" sheetId="11" state="visible" r:id="rId13"/>
    <sheet name="Marin Katusa" sheetId="12" state="visible" r:id="rId14"/>
    <sheet name="Nolan Watson" sheetId="13" state="visible" r:id="rId15"/>
    <sheet name="Lukas Lundin" sheetId="14" state="visible" r:id="rId16"/>
    <sheet name="Thomas Kaplan" sheetId="15" state="visible" r:id="rId17"/>
    <sheet name="Grant Williams" sheetId="16" state="visible" r:id="rId18"/>
    <sheet name="Mark Bristow" sheetId="17" state="visible" r:id="rId19"/>
    <sheet name="David Garofalo" sheetId="18" state="visible" r:id="rId20"/>
    <sheet name="Keith Neumeyer" sheetId="19" state="visible" r:id="rId21"/>
    <sheet name="Bob Quartermaine" sheetId="20" state="visible" r:id="rId22"/>
    <sheet name="Tavi Costa" sheetId="21" state="visible" r:id="rId23"/>
    <sheet name="Brien Lundin" sheetId="22" state="visible" r:id="rId24"/>
    <sheet name="Rob McEwen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<sst xmlns="http://schemas.openxmlformats.org/spreadsheetml/2006/main" count="1021" uniqueCount="628">
  <si>
    <t xml:space="preserve">GoldSignal.ai — Top Gold &amp; Silver Stock Investors</t>
  </si>
  <si>
    <t xml:space="preserve">Precious Metals Portfolio Reference  |  Positions sorted largest → smallest  |  ⚠ Estimated tabs based on public disclosures, filings &amp; best-available research</t>
  </si>
  <si>
    <t xml:space="preserve">#</t>
  </si>
  <si>
    <t xml:space="preserve">Investor / Fund</t>
  </si>
  <si>
    <t xml:space="preserve">Role / Type</t>
  </si>
  <si>
    <t xml:space="preserve">Est. PM AUM</t>
  </si>
  <si>
    <t xml:space="preserve">Positions</t>
  </si>
  <si>
    <t xml:space="preserve">Key Thesis / Notes</t>
  </si>
  <si>
    <t xml:space="preserve">Peter Schiff / Euro Pacific Gold Fund</t>
  </si>
  <si>
    <t xml:space="preserve">Fund Manager</t>
  </si>
  <si>
    <t xml:space="preserve">~$500M</t>
  </si>
  <si>
    <t xml:space="preserve">11</t>
  </si>
  <si>
    <t xml:space="preserve">Anti-fiat; EPGFX public fund; senior gold &amp; silver equities</t>
  </si>
  <si>
    <t xml:space="preserve">Eric Sprott – Personal Junior Portfolio</t>
  </si>
  <si>
    <t xml:space="preserve">Angel / Financier</t>
  </si>
  <si>
    <t xml:space="preserve">~$300M+</t>
  </si>
  <si>
    <t xml:space="preserve">20</t>
  </si>
  <si>
    <t xml:space="preserve">Junior miner kingmaker; private placements; 100+ companies backed</t>
  </si>
  <si>
    <t xml:space="preserve">Sprott Asset Management Funds</t>
  </si>
  <si>
    <t xml:space="preserve">Fund Complex (SII)</t>
  </si>
  <si>
    <t xml:space="preserve">~$25B+</t>
  </si>
  <si>
    <t xml:space="preserve">15</t>
  </si>
  <si>
    <t xml:space="preserve">Flagship funds; senior &amp; mid-tier gold; royalties</t>
  </si>
  <si>
    <t xml:space="preserve">Ross Beaty – Pan American / Personal</t>
  </si>
  <si>
    <t xml:space="preserve">Serial Entrepreneur</t>
  </si>
  <si>
    <t xml:space="preserve">~$500M+</t>
  </si>
  <si>
    <t xml:space="preserve">Founder PAAS &amp; Equinox; Latin America &amp; BC specialist</t>
  </si>
  <si>
    <t xml:space="preserve">Frank Giustra</t>
  </si>
  <si>
    <t xml:space="preserve">Mining Financier</t>
  </si>
  <si>
    <t xml:space="preserve">10</t>
  </si>
  <si>
    <t xml:space="preserve">Goldcorp architect; global deal-maker; film &amp; mining</t>
  </si>
  <si>
    <t xml:space="preserve">Rick Rule</t>
  </si>
  <si>
    <t xml:space="preserve">Value Investor</t>
  </si>
  <si>
    <t xml:space="preserve">~$200M+</t>
  </si>
  <si>
    <t xml:space="preserve">12</t>
  </si>
  <si>
    <t xml:space="preserve">Patient contrarian; large cash reserve; uranium + gold</t>
  </si>
  <si>
    <t xml:space="preserve">John Hathaway – Sprott Hathaway</t>
  </si>
  <si>
    <t xml:space="preserve">~$1B+</t>
  </si>
  <si>
    <t xml:space="preserve">14</t>
  </si>
  <si>
    <t xml:space="preserve">Tocqueville Gold fund veteran; quality-first PM equities</t>
  </si>
  <si>
    <t xml:space="preserve">Ned Naylor-Leyland – Jupiter</t>
  </si>
  <si>
    <t xml:space="preserve">Fund Manager (UK)</t>
  </si>
  <si>
    <t xml:space="preserve">Physical + equities blend; silver monetary undervaluation</t>
  </si>
  <si>
    <t xml:space="preserve">Pierre Lassonde – Franco-Nevada</t>
  </si>
  <si>
    <t xml:space="preserve">Royalty Pioneer</t>
  </si>
  <si>
    <t xml:space="preserve">8</t>
  </si>
  <si>
    <t xml:space="preserve">Co-invented gold royalty model; Quebec &amp; Canada focus</t>
  </si>
  <si>
    <t xml:space="preserve">Doug Casey</t>
  </si>
  <si>
    <t xml:space="preserve">Speculator / Author</t>
  </si>
  <si>
    <t xml:space="preserve">~$100M+</t>
  </si>
  <si>
    <t xml:space="preserve">Casey Research; anarcho-capitalist; physical coins + juniors</t>
  </si>
  <si>
    <t xml:space="preserve">Marin Katusa</t>
  </si>
  <si>
    <t xml:space="preserve">Resource Investor</t>
  </si>
  <si>
    <t xml:space="preserve">~$150M+</t>
  </si>
  <si>
    <t xml:space="preserve">13</t>
  </si>
  <si>
    <t xml:space="preserve">Co-invest model; uranium pivot; newsletter-driven placements</t>
  </si>
  <si>
    <t xml:space="preserve">Nolan Watson – Sandstorm Gold</t>
  </si>
  <si>
    <t xml:space="preserve">Royalty CEO</t>
  </si>
  <si>
    <t xml:space="preserve">~$2B+</t>
  </si>
  <si>
    <t xml:space="preserve">Sandstorm royalty book; streams on 40+ assets</t>
  </si>
  <si>
    <t xml:space="preserve">Lukas Lundin – Lundin Group</t>
  </si>
  <si>
    <t xml:space="preserve">Mining Dynasty</t>
  </si>
  <si>
    <t xml:space="preserve">~$3B+</t>
  </si>
  <si>
    <t xml:space="preserve">Fruta del Norte flagship; copper-gold-uranium diversification</t>
  </si>
  <si>
    <t xml:space="preserve">Thomas Kaplan – Electrum Group</t>
  </si>
  <si>
    <t xml:space="preserve">Billionaire Investor</t>
  </si>
  <si>
    <t xml:space="preserve">7</t>
  </si>
  <si>
    <t xml:space="preserve">Alaska gold focus; NovaGold + private portfolio; conservationist</t>
  </si>
  <si>
    <t xml:space="preserve">Grant Williams – TTMYGH</t>
  </si>
  <si>
    <t xml:space="preserve">Macro Analyst</t>
  </si>
  <si>
    <t xml:space="preserve">~$50M+</t>
  </si>
  <si>
    <t xml:space="preserve">Monetary reset thesis; physical + quality royalties</t>
  </si>
  <si>
    <t xml:space="preserve">Mark Bristow – Barrick Gold CEO</t>
  </si>
  <si>
    <t xml:space="preserve">Mining CEO</t>
  </si>
  <si>
    <t xml:space="preserve">6</t>
  </si>
  <si>
    <t xml:space="preserve">Barrick insider; geologist-CEO; Africa gold champion</t>
  </si>
  <si>
    <t xml:space="preserve">David Garofalo – Gold Royalties</t>
  </si>
  <si>
    <t xml:space="preserve">~$200M</t>
  </si>
  <si>
    <t xml:space="preserve">9</t>
  </si>
  <si>
    <t xml:space="preserve">Ex-Goldcorp CEO; building emerging royalty company</t>
  </si>
  <si>
    <t xml:space="preserve">Keith Neumeyer – First Majestic</t>
  </si>
  <si>
    <t xml:space="preserve">Silver maximalist; insider-heavy; First Majestic &amp; First Mining</t>
  </si>
  <si>
    <t xml:space="preserve">Bob Quartermaine – Seabridge Gold</t>
  </si>
  <si>
    <t xml:space="preserve">KSM asset holder; gold-per-share model; ultra-patient</t>
  </si>
  <si>
    <t xml:space="preserve">Tavi Costa – Crescat Capital</t>
  </si>
  <si>
    <t xml:space="preserve">Macro PM</t>
  </si>
  <si>
    <t xml:space="preserve">Junior mining + physical; macro cycle timing; Crescat Global</t>
  </si>
  <si>
    <t xml:space="preserve">Brien Lundin – Gold Newsletter</t>
  </si>
  <si>
    <t xml:space="preserve">Editor / Investor</t>
  </si>
  <si>
    <t xml:space="preserve">~$10M+</t>
  </si>
  <si>
    <t xml:space="preserve">Oldest gold newsletter; diversified PM; Nevada focus</t>
  </si>
  <si>
    <t xml:space="preserve">Rob McEwen – McEwen Mining</t>
  </si>
  <si>
    <t xml:space="preserve">5</t>
  </si>
  <si>
    <t xml:space="preserve">No salary; 100% invested in MUX; Los Azules copper upside</t>
  </si>
  <si>
    <t xml:space="preserve">Disclaimer: Portfolio data is estimated from public SEC/SEDAR filings, press releases, interviews, and independent research. Not financial advice. GoldSignal.ai © 2025</t>
  </si>
  <si>
    <t xml:space="preserve">Peter Schiff – Euro Pacific Gold Fund</t>
  </si>
  <si>
    <t xml:space="preserve">Euro Pacific Gold Fund (EPGFX)</t>
  </si>
  <si>
    <t xml:space="preserve">Founder &amp; Portfolio Manager | Ardent gold-standard advocate; runs EPGFX focused on global gold &amp; silver equities</t>
  </si>
  <si>
    <t xml:space="preserve">Company / Position</t>
  </si>
  <si>
    <t xml:space="preserve">Ticker</t>
  </si>
  <si>
    <t xml:space="preserve">Est. % of Portfolio</t>
  </si>
  <si>
    <t xml:space="preserve">Notes</t>
  </si>
  <si>
    <t xml:space="preserve">Agnico Eagle Mines</t>
  </si>
  <si>
    <t xml:space="preserve">AEM</t>
  </si>
  <si>
    <t xml:space="preserve">Core large-cap; consistent dividend, low-cost producer</t>
  </si>
  <si>
    <t xml:space="preserve">Franco-Nevada</t>
  </si>
  <si>
    <t xml:space="preserve">FNV</t>
  </si>
  <si>
    <t xml:space="preserve">Royalty/streaming; preferred defensive gold exposure</t>
  </si>
  <si>
    <t xml:space="preserve">Wheaton Precious Metals</t>
  </si>
  <si>
    <t xml:space="preserve">WPM</t>
  </si>
  <si>
    <t xml:space="preserve">Silver &amp; gold streams; long-life assets</t>
  </si>
  <si>
    <t xml:space="preserve">Newmont Corporation</t>
  </si>
  <si>
    <t xml:space="preserve">NEM</t>
  </si>
  <si>
    <t xml:space="preserve">World's largest gold miner; global diversification</t>
  </si>
  <si>
    <t xml:space="preserve">Royal Gold</t>
  </si>
  <si>
    <t xml:space="preserve">RGLD</t>
  </si>
  <si>
    <t xml:space="preserve">Royalty company; leveraged to gold price</t>
  </si>
  <si>
    <t xml:space="preserve">Barrick Gold</t>
  </si>
  <si>
    <t xml:space="preserve">GOLD</t>
  </si>
  <si>
    <t xml:space="preserve">Senior producer; Africa &amp; Americas asset base</t>
  </si>
  <si>
    <t xml:space="preserve">Kinross Gold</t>
  </si>
  <si>
    <t xml:space="preserve">KGC</t>
  </si>
  <si>
    <t xml:space="preserve">Mid-tier; Americas-focused, low cost</t>
  </si>
  <si>
    <t xml:space="preserve">Pan American Silver</t>
  </si>
  <si>
    <t xml:space="preserve">PAAS</t>
  </si>
  <si>
    <t xml:space="preserve">Silver focus; Latin American operations</t>
  </si>
  <si>
    <t xml:space="preserve">First Majestic Silver</t>
  </si>
  <si>
    <t xml:space="preserve">AG</t>
  </si>
  <si>
    <t xml:space="preserve">Pure-play silver; Schiff outspoken supporter</t>
  </si>
  <si>
    <t xml:space="preserve">Endeavour Mining</t>
  </si>
  <si>
    <t xml:space="preserve">EDV</t>
  </si>
  <si>
    <t xml:space="preserve">West Africa gold; growth profile</t>
  </si>
  <si>
    <t xml:space="preserve">Gold Fields</t>
  </si>
  <si>
    <t xml:space="preserve">GFI</t>
  </si>
  <si>
    <t xml:space="preserve">S. Africa &amp; intl; Salares Norte catalyst</t>
  </si>
  <si>
    <t xml:space="preserve">TOTAL</t>
  </si>
  <si>
    <t xml:space="preserve">Eric Sprott (Personal)</t>
  </si>
  <si>
    <t xml:space="preserve">Billionaire investor &amp; mining financier | Known for backing 100+ junior miners via private placements; positions estimated from SEDAR/EDGAR filings &amp; interviews</t>
  </si>
  <si>
    <t xml:space="preserve">⚠  ESTIMATED PORTFOLIO — based on public disclosures, interviews, and best-available research</t>
  </si>
  <si>
    <t xml:space="preserve">Eskay Mining</t>
  </si>
  <si>
    <t xml:space="preserve">ESK.V</t>
  </si>
  <si>
    <t xml:space="preserve">Flagship exploration bet; Golden Triangle BC</t>
  </si>
  <si>
    <t xml:space="preserve">Dolly Varden Silver</t>
  </si>
  <si>
    <t xml:space="preserve">DV.V</t>
  </si>
  <si>
    <t xml:space="preserve">High-grade silver; Sprott major backer</t>
  </si>
  <si>
    <t xml:space="preserve">Brixton Metals</t>
  </si>
  <si>
    <t xml:space="preserve">BBB.V</t>
  </si>
  <si>
    <t xml:space="preserve">Multi-target explorer; Thorn Project BC</t>
  </si>
  <si>
    <t xml:space="preserve">Comstock Mining</t>
  </si>
  <si>
    <t xml:space="preserve">LODE</t>
  </si>
  <si>
    <t xml:space="preserve">Nevada historical gold district revival</t>
  </si>
  <si>
    <t xml:space="preserve">First Mining Gold</t>
  </si>
  <si>
    <t xml:space="preserve">FF.V</t>
  </si>
  <si>
    <t xml:space="preserve">Gold bank model; optionality portfolio</t>
  </si>
  <si>
    <t xml:space="preserve">Labrador Gold</t>
  </si>
  <si>
    <t xml:space="preserve">LAB.V</t>
  </si>
  <si>
    <t xml:space="preserve">High-grade gold Labrador; active explorer</t>
  </si>
  <si>
    <t xml:space="preserve">Goliath Resources</t>
  </si>
  <si>
    <t xml:space="preserve">GOT.V</t>
  </si>
  <si>
    <t xml:space="preserve">Skeena area explorer; drill results catalyst</t>
  </si>
  <si>
    <t xml:space="preserve">Fury Gold Mines</t>
  </si>
  <si>
    <t xml:space="preserve">FURY</t>
  </si>
  <si>
    <t xml:space="preserve">Quebec &amp; Nunavut; strong resource base</t>
  </si>
  <si>
    <t xml:space="preserve">Tudor Gold</t>
  </si>
  <si>
    <t xml:space="preserve">TUD.V</t>
  </si>
  <si>
    <t xml:space="preserve">Treaty Creek BC; Seabridge JV area</t>
  </si>
  <si>
    <t xml:space="preserve">Vizsla Silver</t>
  </si>
  <si>
    <t xml:space="preserve">VZLA</t>
  </si>
  <si>
    <t xml:space="preserve">Mexico high-grade silver-gold; fast grower</t>
  </si>
  <si>
    <t xml:space="preserve">Signature Resources</t>
  </si>
  <si>
    <t xml:space="preserve">SGU.V</t>
  </si>
  <si>
    <t xml:space="preserve">Ontario gold; Lingman Lake project</t>
  </si>
  <si>
    <t xml:space="preserve">Silver Tiger Metals</t>
  </si>
  <si>
    <t xml:space="preserve">SLVR.V</t>
  </si>
  <si>
    <t xml:space="preserve">Mexico bonanza silver veins</t>
  </si>
  <si>
    <t xml:space="preserve">Blackrock Silver</t>
  </si>
  <si>
    <t xml:space="preserve">BRC.V</t>
  </si>
  <si>
    <t xml:space="preserve">Nevada silver-gold explorer</t>
  </si>
  <si>
    <t xml:space="preserve">Aftermath Silver</t>
  </si>
  <si>
    <t xml:space="preserve">AAG.V</t>
  </si>
  <si>
    <t xml:space="preserve">Chile silver; Berenguela asset</t>
  </si>
  <si>
    <t xml:space="preserve">Ophir Gold</t>
  </si>
  <si>
    <t xml:space="preserve">OPHIR.V</t>
  </si>
  <si>
    <t xml:space="preserve">Tier-1 Canada explorer</t>
  </si>
  <si>
    <t xml:space="preserve">Gold79 Mines</t>
  </si>
  <si>
    <t xml:space="preserve">AUU.V</t>
  </si>
  <si>
    <t xml:space="preserve">Arizona &amp; Nevada gold targets</t>
  </si>
  <si>
    <t xml:space="preserve">Kainantu Resources</t>
  </si>
  <si>
    <t xml:space="preserve">KRL.V</t>
  </si>
  <si>
    <t xml:space="preserve">PNG high-grade gold</t>
  </si>
  <si>
    <t xml:space="preserve">Scottie Resources</t>
  </si>
  <si>
    <t xml:space="preserve">SCOT.V</t>
  </si>
  <si>
    <t xml:space="preserve">Golden Triangle BC; adjacent to Eskay</t>
  </si>
  <si>
    <t xml:space="preserve">Enduro Metals</t>
  </si>
  <si>
    <t xml:space="preserve">ENDR.V</t>
  </si>
  <si>
    <t xml:space="preserve">BC explorer; Newmont ground area</t>
  </si>
  <si>
    <t xml:space="preserve">Cash / Dry Powder</t>
  </si>
  <si>
    <t xml:space="preserve">—</t>
  </si>
  <si>
    <t xml:space="preserve">Reserves for private placements</t>
  </si>
  <si>
    <t xml:space="preserve">Sprott Inc. (SII) — Managed Funds</t>
  </si>
  <si>
    <t xml:space="preserve">Toronto-based alternative asset manager specializing in precious metals; AUM ~$25B+. Holdings reflect flagship public fund positioning.</t>
  </si>
  <si>
    <t xml:space="preserve">Highest-quality senior producer; consistent outperformer</t>
  </si>
  <si>
    <t xml:space="preserve">Gold royalty; zero-debt, royalty model</t>
  </si>
  <si>
    <t xml:space="preserve">Largest silver streamer; gold streams growing</t>
  </si>
  <si>
    <t xml:space="preserve">Scale &amp; diversification; Tier-1 assets</t>
  </si>
  <si>
    <t xml:space="preserve">Copper-gold growth strategy</t>
  </si>
  <si>
    <t xml:space="preserve">Royalty diversification</t>
  </si>
  <si>
    <t xml:space="preserve">Americas-focused; takeover optionality</t>
  </si>
  <si>
    <t xml:space="preserve">Silver &amp; gold; Latin America operator</t>
  </si>
  <si>
    <t xml:space="preserve">Alamos Gold</t>
  </si>
  <si>
    <t xml:space="preserve">AGI</t>
  </si>
  <si>
    <t xml:space="preserve">Canada &amp; Mexico producer; Island Gold expansion</t>
  </si>
  <si>
    <t xml:space="preserve">Endeavour Silver</t>
  </si>
  <si>
    <t xml:space="preserve">EXK</t>
  </si>
  <si>
    <t xml:space="preserve">Mexico silver producer; Terronera builder</t>
  </si>
  <si>
    <t xml:space="preserve">Pure-play silver; San Dimas &amp; Santa Elena</t>
  </si>
  <si>
    <t xml:space="preserve">Torex Gold</t>
  </si>
  <si>
    <t xml:space="preserve">TXG</t>
  </si>
  <si>
    <t xml:space="preserve">Mexico Media Luna project; re-rating target</t>
  </si>
  <si>
    <t xml:space="preserve">Wesdome Gold Mines</t>
  </si>
  <si>
    <t xml:space="preserve">WDO</t>
  </si>
  <si>
    <t xml:space="preserve">Canada; high-grade Eagle River mine</t>
  </si>
  <si>
    <t xml:space="preserve">Osisko Gold Royalties</t>
  </si>
  <si>
    <t xml:space="preserve">OR</t>
  </si>
  <si>
    <t xml:space="preserve">Quebec-focused royalty; Canadian Shield</t>
  </si>
  <si>
    <t xml:space="preserve">Coeur Mining</t>
  </si>
  <si>
    <t xml:space="preserve">CDE</t>
  </si>
  <si>
    <t xml:space="preserve">Silver-gold producer; Silvertip catalyst</t>
  </si>
  <si>
    <t xml:space="preserve">Ross Beaty (Personal + Pan American Silver Founder)</t>
  </si>
  <si>
    <t xml:space="preserve">Serial mining entrepreneur; founded Pan American Silver &amp; Equinox Gold. Estimated personal portfolio based on known holdings, board positions, and public filings.</t>
  </si>
  <si>
    <t xml:space="preserve">Equinox Gold</t>
  </si>
  <si>
    <t xml:space="preserve">EQX</t>
  </si>
  <si>
    <t xml:space="preserve">Co-founder; major personal stake; multi-mine Americas producer</t>
  </si>
  <si>
    <t xml:space="preserve">Founder; legacy cornerstone holding since 1994</t>
  </si>
  <si>
    <t xml:space="preserve">Lumina Gold</t>
  </si>
  <si>
    <t xml:space="preserve">LUM.V</t>
  </si>
  <si>
    <t xml:space="preserve">Founder; Cangrejos Ecuador deposit — giant project</t>
  </si>
  <si>
    <t xml:space="preserve">GreenX Metals</t>
  </si>
  <si>
    <t xml:space="preserve">GRX</t>
  </si>
  <si>
    <t xml:space="preserve">Coal-to-green metals; founder position</t>
  </si>
  <si>
    <t xml:space="preserve">Board involvement; Chile silver</t>
  </si>
  <si>
    <t xml:space="preserve">Torchlight Energy/Meta Mtls</t>
  </si>
  <si>
    <t xml:space="preserve">MMAT</t>
  </si>
  <si>
    <t xml:space="preserve">Speculative diversification</t>
  </si>
  <si>
    <t xml:space="preserve">Royalty exposure; Canadian assets</t>
  </si>
  <si>
    <t xml:space="preserve">Streaming; long-time respected holding</t>
  </si>
  <si>
    <t xml:space="preserve">Quality bias; Tier-1 Canada producer</t>
  </si>
  <si>
    <t xml:space="preserve">Private / Pre-IPO Mining</t>
  </si>
  <si>
    <t xml:space="preserve">Multiple private placements &amp; early-stage bets</t>
  </si>
  <si>
    <t xml:space="preserve">Cash &amp; Other</t>
  </si>
  <si>
    <t xml:space="preserve">Liquidity buffer</t>
  </si>
  <si>
    <t xml:space="preserve">Frank Giustra (Personal + Fiore Group)</t>
  </si>
  <si>
    <t xml:space="preserve">Mining financier, founder of Wheaton River (became Goldcorp). Pivotal deal-maker; estimated portfolio based on known projects, speeches, and filings.</t>
  </si>
  <si>
    <t xml:space="preserve">Fiore Gold</t>
  </si>
  <si>
    <t xml:space="preserve">F.V</t>
  </si>
  <si>
    <t xml:space="preserve">Founder &amp; chairman; Nevada Pan Mine producer</t>
  </si>
  <si>
    <t xml:space="preserve">Calibre Mining</t>
  </si>
  <si>
    <t xml:space="preserve">CXB</t>
  </si>
  <si>
    <t xml:space="preserve">Major backer; Nicaragua &amp; Nevada gold</t>
  </si>
  <si>
    <t xml:space="preserve">Leagold Mining/Equinox</t>
  </si>
  <si>
    <t xml:space="preserve">Historical Leagold merged into Equinox; retained stake</t>
  </si>
  <si>
    <t xml:space="preserve">Entrée Resources</t>
  </si>
  <si>
    <t xml:space="preserve">ETG</t>
  </si>
  <si>
    <t xml:space="preserve">Mongolia copper-gold; Oyu Tolgoi JV</t>
  </si>
  <si>
    <t xml:space="preserve">Revival Gold</t>
  </si>
  <si>
    <t xml:space="preserve">RVG.V</t>
  </si>
  <si>
    <t xml:space="preserve">Idaho historic Beartrack mine; restart story</t>
  </si>
  <si>
    <t xml:space="preserve">Chile silver; early backer</t>
  </si>
  <si>
    <t xml:space="preserve">Osisko Mining</t>
  </si>
  <si>
    <t xml:space="preserve">OSK.V</t>
  </si>
  <si>
    <t xml:space="preserve">Windfall Quebec; world-class discovery</t>
  </si>
  <si>
    <t xml:space="preserve">Legacy position from Wheaton River days</t>
  </si>
  <si>
    <t xml:space="preserve">Private Resource Deals</t>
  </si>
  <si>
    <t xml:space="preserve">Active in private placements globally</t>
  </si>
  <si>
    <t xml:space="preserve">Cash / Media Investments</t>
  </si>
  <si>
    <t xml:space="preserve">Lionsgate &amp; other non-mining diversification</t>
  </si>
  <si>
    <t xml:space="preserve">Rick Rule (Personal + Rule Investment Media)</t>
  </si>
  <si>
    <t xml:space="preserve">Legendary resource sector investor; former CEO Sprott US Holdings. Concentrated value-based PM strategy; estimated from interviews &amp; public commentary.</t>
  </si>
  <si>
    <t xml:space="preserve">Uranium Royalty Corp</t>
  </si>
  <si>
    <t xml:space="preserve">URC</t>
  </si>
  <si>
    <t xml:space="preserve">Uranium exposure; royalty model he championed</t>
  </si>
  <si>
    <t xml:space="preserve">Core royalty holding; compounding machine</t>
  </si>
  <si>
    <t xml:space="preserve">Streaming; Rule has praised WPM model repeatedly</t>
  </si>
  <si>
    <t xml:space="preserve">Quality operator; Tier-1 jurisdictions</t>
  </si>
  <si>
    <t xml:space="preserve">Altius Minerals</t>
  </si>
  <si>
    <t xml:space="preserve">ALS</t>
  </si>
  <si>
    <t xml:space="preserve">Royalty generalist; potash + PM exposure</t>
  </si>
  <si>
    <t xml:space="preserve">International Tower Group</t>
  </si>
  <si>
    <t xml:space="preserve">Private investments; resource finance</t>
  </si>
  <si>
    <t xml:space="preserve">Canadian royalty; Rule bullish on Quebec</t>
  </si>
  <si>
    <t xml:space="preserve">Liberty Gold</t>
  </si>
  <si>
    <t xml:space="preserve">LGD</t>
  </si>
  <si>
    <t xml:space="preserve">Idaho Black Pine project; Rule-backed</t>
  </si>
  <si>
    <t xml:space="preserve">Comstock Inc</t>
  </si>
  <si>
    <t xml:space="preserve">Nevada; Rule bullish on historic district</t>
  </si>
  <si>
    <t xml:space="preserve">High-grade Mexico silver; Rule-endorsed</t>
  </si>
  <si>
    <t xml:space="preserve">Exploration upside; Rule backed placement</t>
  </si>
  <si>
    <t xml:space="preserve">Cash / Waiting</t>
  </si>
  <si>
    <t xml:space="preserve">Rule famous for holding cash until 'fat pitch'</t>
  </si>
  <si>
    <t xml:space="preserve">John Hathaway – Sprott Hathaway Gold Fund</t>
  </si>
  <si>
    <t xml:space="preserve">John Hathaway (Sprott Hathaway Gold Fund)</t>
  </si>
  <si>
    <t xml:space="preserve">Portfolio manager of the Sprott Gold Equity Fund (formerly Tocqueville Gold Fund). 30+ year gold equity specialist.</t>
  </si>
  <si>
    <t xml:space="preserve">Top conviction; best-in-class operator</t>
  </si>
  <si>
    <t xml:space="preserve">Scale; copper-gold growth trajectory</t>
  </si>
  <si>
    <t xml:space="preserve">Royalty anchor; defensive with upside</t>
  </si>
  <si>
    <t xml:space="preserve">Silver-gold streaming; quality franchise</t>
  </si>
  <si>
    <t xml:space="preserve">Undervalued vs peers; Americas focus</t>
  </si>
  <si>
    <t xml:space="preserve">Canada-Mexico; Island Gold mine expansion</t>
  </si>
  <si>
    <t xml:space="preserve">High-grade Canada; small-cap quality</t>
  </si>
  <si>
    <t xml:space="preserve">Mexico; Media Luna catalyst</t>
  </si>
  <si>
    <t xml:space="preserve">Canadian royalty; Quebec Windfall upside</t>
  </si>
  <si>
    <t xml:space="preserve">Diversified senior; Salares Norte growth</t>
  </si>
  <si>
    <t xml:space="preserve">Silver leverage; Hathaway holds for beta</t>
  </si>
  <si>
    <t xml:space="preserve">SSR Mining</t>
  </si>
  <si>
    <t xml:space="preserve">SSRM</t>
  </si>
  <si>
    <t xml:space="preserve">Multi-mine; Copler restart optionality</t>
  </si>
  <si>
    <t xml:space="preserve">West Africa; cash flow compounder</t>
  </si>
  <si>
    <t xml:space="preserve">Cash</t>
  </si>
  <si>
    <t xml:space="preserve">Tactical reserve</t>
  </si>
  <si>
    <t xml:space="preserve">Ned Naylor-Leyland – Jupiter Gold &amp; Silver</t>
  </si>
  <si>
    <t xml:space="preserve">Ned Naylor-Leyland (Jupiter Asset Mgmt)</t>
  </si>
  <si>
    <t xml:space="preserve">Head of Gold &amp; Silver at Jupiter Asset Management (UK). Manages Jupiter Gold &amp; Silver Fund; blend of physical + equities.</t>
  </si>
  <si>
    <t xml:space="preserve">Physical Gold (ETF/Bars)</t>
  </si>
  <si>
    <t xml:space="preserve">PHAU</t>
  </si>
  <si>
    <t xml:space="preserve">Strategic physical allocation; monetary metal thesis</t>
  </si>
  <si>
    <t xml:space="preserve">Physical Silver (ETF/Bars)</t>
  </si>
  <si>
    <t xml:space="preserve">PHAG</t>
  </si>
  <si>
    <t xml:space="preserve">Silver monetary undervaluation thesis</t>
  </si>
  <si>
    <t xml:space="preserve">Streaming; silver-heavy revenue mix</t>
  </si>
  <si>
    <t xml:space="preserve">Silver producer with gold credit</t>
  </si>
  <si>
    <t xml:space="preserve">High silver leverage; pure-play</t>
  </si>
  <si>
    <t xml:space="preserve">Quality gold; Tier-1 Canada</t>
  </si>
  <si>
    <t xml:space="preserve">Fresnillo plc</t>
  </si>
  <si>
    <t xml:space="preserve">FRES</t>
  </si>
  <si>
    <t xml:space="preserve">London-listed Mexico silver giant</t>
  </si>
  <si>
    <t xml:space="preserve">Hochschild Mining</t>
  </si>
  <si>
    <t xml:space="preserve">HOC</t>
  </si>
  <si>
    <t xml:space="preserve">Peru &amp; Chile silver-gold; London-listed</t>
  </si>
  <si>
    <t xml:space="preserve">Mexico silver; Terronera growth</t>
  </si>
  <si>
    <t xml:space="preserve">Polymetal Intl</t>
  </si>
  <si>
    <t xml:space="preserve">POLY</t>
  </si>
  <si>
    <t xml:space="preserve">Russia/Kazakhstan; deeply discounted</t>
  </si>
  <si>
    <t xml:space="preserve">Cash / Other</t>
  </si>
  <si>
    <t xml:space="preserve">Tactical flexibility</t>
  </si>
  <si>
    <t xml:space="preserve">Pierre Lassonde – Franco-Nevada Founder</t>
  </si>
  <si>
    <t xml:space="preserve">Pierre Lassonde (Personal + Advisory)</t>
  </si>
  <si>
    <t xml:space="preserve">Co-founder &amp; former chairman of Franco-Nevada; invented the gold royalty business model. Estimated portfolio based on known stakes, board roles &amp; interviews.</t>
  </si>
  <si>
    <t xml:space="preserve">Life's work; founding shareholder &amp; architect of royalty model</t>
  </si>
  <si>
    <t xml:space="preserve">Quebec royalty; Lassonde very active backer</t>
  </si>
  <si>
    <t xml:space="preserve">Windfall discovery; royalty feeder strategy</t>
  </si>
  <si>
    <t xml:space="preserve">Midas Gold / Perpetua</t>
  </si>
  <si>
    <t xml:space="preserve">PPTA</t>
  </si>
  <si>
    <t xml:space="preserve">Idaho Stibnite gold; Lassonde backed</t>
  </si>
  <si>
    <t xml:space="preserve">Midland Exploration</t>
  </si>
  <si>
    <t xml:space="preserve">MD.V</t>
  </si>
  <si>
    <t xml:space="preserve">Quebec explorer; royalty strategy</t>
  </si>
  <si>
    <t xml:space="preserve">Gold Royalty Corp</t>
  </si>
  <si>
    <t xml:space="preserve">GROY</t>
  </si>
  <si>
    <t xml:space="preserve">Emerging royalty; Lassonde advisory role</t>
  </si>
  <si>
    <t xml:space="preserve">Long-term quality; Quebec/Canada focus</t>
  </si>
  <si>
    <t xml:space="preserve">Cash / Private</t>
  </si>
  <si>
    <t xml:space="preserve">Private deals &amp; philanthropic capital</t>
  </si>
  <si>
    <t xml:space="preserve">Doug Casey (Casey Research / Personal)</t>
  </si>
  <si>
    <t xml:space="preserve">Anarcho-capitalist speculator and author of 'Crisis Investing.' Concentrated in junior gold explorers; anti-establishment gold bug.</t>
  </si>
  <si>
    <t xml:space="preserve">International Speculator picks</t>
  </si>
  <si>
    <t xml:space="preserve">VAR</t>
  </si>
  <si>
    <t xml:space="preserve">Casey Research newsletter-driven juniors basket</t>
  </si>
  <si>
    <t xml:space="preserve">Marin Katusa picks (overlap)</t>
  </si>
  <si>
    <t xml:space="preserve">Katusa Research co-investments</t>
  </si>
  <si>
    <t xml:space="preserve">Uranium Energy Corp</t>
  </si>
  <si>
    <t xml:space="preserve">UEC</t>
  </si>
  <si>
    <t xml:space="preserve">Energy metals; Casey bullish uranium</t>
  </si>
  <si>
    <t xml:space="preserve">International Tower / Priv</t>
  </si>
  <si>
    <t xml:space="preserve">Private resource deals globally</t>
  </si>
  <si>
    <t xml:space="preserve">Gold Standard Ventures</t>
  </si>
  <si>
    <t xml:space="preserve">GSV</t>
  </si>
  <si>
    <t xml:space="preserve">Nevada Railroad District; Tier-1 address</t>
  </si>
  <si>
    <t xml:space="preserve">Nevada historical district; Casey supporter</t>
  </si>
  <si>
    <t xml:space="preserve">Sokoman Minerals</t>
  </si>
  <si>
    <t xml:space="preserve">SIC.V</t>
  </si>
  <si>
    <t xml:space="preserve">Newfoundland gold; high-grade hits</t>
  </si>
  <si>
    <t xml:space="preserve">BC silver; newsletter favorite</t>
  </si>
  <si>
    <t xml:space="preserve">Idaho; open-pit friendly jurisdiction</t>
  </si>
  <si>
    <t xml:space="preserve">Physical Gold Coins</t>
  </si>
  <si>
    <t xml:space="preserve">Firm believer in holding coins, not paper</t>
  </si>
  <si>
    <t xml:space="preserve">Cash (offshore)</t>
  </si>
  <si>
    <t xml:space="preserve">Keeps significant liquidity outside US system</t>
  </si>
  <si>
    <t xml:space="preserve">Marin Katusa (Katusa Research)</t>
  </si>
  <si>
    <t xml:space="preserve">Resource sector investor &amp; author of 'The Colder War.' Known for co-investment model with newsletter subscribers; uranium &amp; gold specialist.</t>
  </si>
  <si>
    <t xml:space="preserve">Co-founder; uranium royalty pioneer</t>
  </si>
  <si>
    <t xml:space="preserve">Fission Uranium</t>
  </si>
  <si>
    <t xml:space="preserve">FCU</t>
  </si>
  <si>
    <t xml:space="preserve">Athabasca Basin; PLS deposit world-class</t>
  </si>
  <si>
    <t xml:space="preserve">NexGen Energy</t>
  </si>
  <si>
    <t xml:space="preserve">NXE</t>
  </si>
  <si>
    <t xml:space="preserve">Arrow deposit; best undeveloped uranium</t>
  </si>
  <si>
    <t xml:space="preserve">Surge Copper</t>
  </si>
  <si>
    <t xml:space="preserve">SURG.V</t>
  </si>
  <si>
    <t xml:space="preserve">BC copper-gold; Katusa backed</t>
  </si>
  <si>
    <t xml:space="preserve">Hercules Silver</t>
  </si>
  <si>
    <t xml:space="preserve">HERC.V</t>
  </si>
  <si>
    <t xml:space="preserve">Idaho silver-gold; early position</t>
  </si>
  <si>
    <t xml:space="preserve">GoldHaven Resources</t>
  </si>
  <si>
    <t xml:space="preserve">GOH.V</t>
  </si>
  <si>
    <t xml:space="preserve">Colombia gold explorer</t>
  </si>
  <si>
    <t xml:space="preserve">Solaris Resources</t>
  </si>
  <si>
    <t xml:space="preserve">SLS</t>
  </si>
  <si>
    <t xml:space="preserve">Ecuador copper-gold; Warintza discovery</t>
  </si>
  <si>
    <t xml:space="preserve">Reyna Silver</t>
  </si>
  <si>
    <t xml:space="preserve">RSLV.V</t>
  </si>
  <si>
    <t xml:space="preserve">Mexico silver; high-grade Guigui</t>
  </si>
  <si>
    <t xml:space="preserve">Meridian Mining</t>
  </si>
  <si>
    <t xml:space="preserve">MNO.V</t>
  </si>
  <si>
    <t xml:space="preserve">Brazil gold; Cabaçal deposit</t>
  </si>
  <si>
    <t xml:space="preserve">Idaho open pit gold</t>
  </si>
  <si>
    <t xml:space="preserve">Nevada; processing &amp; royalty thesis</t>
  </si>
  <si>
    <t xml:space="preserve">Eloro Resources</t>
  </si>
  <si>
    <t xml:space="preserve">ELO.V</t>
  </si>
  <si>
    <t xml:space="preserve">Bolivia Iska Iska polymetallic; giant footprint</t>
  </si>
  <si>
    <t xml:space="preserve">Cash / Co-invest Reserve</t>
  </si>
  <si>
    <t xml:space="preserve">Maintains dry powder for co-investment deals</t>
  </si>
  <si>
    <t xml:space="preserve">Nolan Watson (Sandstorm Gold Royalties)</t>
  </si>
  <si>
    <t xml:space="preserve">Founder &amp; CEO of Sandstorm Gold; ex-CFO of Silver Wheaton. Portfolio is Sandstorm's royalty/streaming book.</t>
  </si>
  <si>
    <t xml:space="preserve">Sandstorm Gold Royalties</t>
  </si>
  <si>
    <t xml:space="preserve">SAND</t>
  </si>
  <si>
    <t xml:space="preserve">Largest personal position; company founder</t>
  </si>
  <si>
    <t xml:space="preserve">Hod Maden (Turkey)</t>
  </si>
  <si>
    <t xml:space="preserve">Royalty on Lidya Madencilik's Hod Maden project</t>
  </si>
  <si>
    <t xml:space="preserve">Greenstone Gold Mine</t>
  </si>
  <si>
    <t xml:space="preserve">Ontario; Premier Gold royalty acquired</t>
  </si>
  <si>
    <t xml:space="preserve">Antamina (Cu-Zn-Ag Peru)</t>
  </si>
  <si>
    <t xml:space="preserve">Silver stream on world-class polymetallic</t>
  </si>
  <si>
    <t xml:space="preserve">Cerro Moro (Argentina)</t>
  </si>
  <si>
    <t xml:space="preserve">Silver stream; Yamana/AEM asset</t>
  </si>
  <si>
    <t xml:space="preserve">Chapada Mine Brazil</t>
  </si>
  <si>
    <t xml:space="preserve">Gold stream; Lundin Mining operator</t>
  </si>
  <si>
    <t xml:space="preserve">Relief Canyon Nevada</t>
  </si>
  <si>
    <t xml:space="preserve">Americas Gold Silver stream</t>
  </si>
  <si>
    <t xml:space="preserve">Entree/Hugo North</t>
  </si>
  <si>
    <t xml:space="preserve">Mongolia Cu-Au royalty; Oyu Tolgoi area</t>
  </si>
  <si>
    <t xml:space="preserve">Bachelor Mine Quebec</t>
  </si>
  <si>
    <t xml:space="preserve">Iamgold stream; high-grade underground</t>
  </si>
  <si>
    <t xml:space="preserve">40+ Other Royalties</t>
  </si>
  <si>
    <t xml:space="preserve">Diversified royalty portfolio across jurisdictions</t>
  </si>
  <si>
    <t xml:space="preserve">Lukas Lundin (Lundin Group of Companies)</t>
  </si>
  <si>
    <t xml:space="preserve">Chairman of Lundin Gold, Lundin Mining &amp; multiple resource cos. Swedish-Canadian dynasty; active deal-maker across metals.</t>
  </si>
  <si>
    <t xml:space="preserve">Lundin Gold</t>
  </si>
  <si>
    <t xml:space="preserve">LUG</t>
  </si>
  <si>
    <t xml:space="preserve">Flagship; Fruta del Norte Ecuador — world-class mine</t>
  </si>
  <si>
    <t xml:space="preserve">Lundin Mining</t>
  </si>
  <si>
    <t xml:space="preserve">LUN</t>
  </si>
  <si>
    <t xml:space="preserve">Copper-zinc-gold diversified miner</t>
  </si>
  <si>
    <t xml:space="preserve">NGEx Minerals</t>
  </si>
  <si>
    <t xml:space="preserve">NGEX</t>
  </si>
  <si>
    <t xml:space="preserve">Argentina-Chile copper-gold; Los Helados deposit</t>
  </si>
  <si>
    <t xml:space="preserve">Filo Corp (now Filo Mining)</t>
  </si>
  <si>
    <t xml:space="preserve">FIL</t>
  </si>
  <si>
    <t xml:space="preserve">Filo del Sol border deposit; massive porphyry</t>
  </si>
  <si>
    <t xml:space="preserve">Josemaria Resources</t>
  </si>
  <si>
    <t xml:space="preserve">JOSE</t>
  </si>
  <si>
    <t xml:space="preserve">Argentina Cu-Au; folded into Lundin group</t>
  </si>
  <si>
    <t xml:space="preserve">Denison Mines</t>
  </si>
  <si>
    <t xml:space="preserve">DML</t>
  </si>
  <si>
    <t xml:space="preserve">Uranium; Athabasca Basin Wheeler River</t>
  </si>
  <si>
    <t xml:space="preserve">International Petroleum</t>
  </si>
  <si>
    <t xml:space="preserve">IPCO</t>
  </si>
  <si>
    <t xml:space="preserve">Oil diversification; cash flow support</t>
  </si>
  <si>
    <t xml:space="preserve">GoGold Resources</t>
  </si>
  <si>
    <t xml:space="preserve">GGD</t>
  </si>
  <si>
    <t xml:space="preserve">Mexico silver-gold; Los Ricos growth</t>
  </si>
  <si>
    <t xml:space="preserve">Quebec Windfall; major gold discovery</t>
  </si>
  <si>
    <t xml:space="preserve">Cash / Other Lundin Cos</t>
  </si>
  <si>
    <t xml:space="preserve">Various family holding company positions</t>
  </si>
  <si>
    <t xml:space="preserve">Thomas Kaplan (Electrum Group / Tigris Financial)</t>
  </si>
  <si>
    <t xml:space="preserve">Billionaire conservationist and gold investor; built Leor Energy &amp; pivoted to gold. Founded Electrum Group. Largely private positions.</t>
  </si>
  <si>
    <t xml:space="preserve">Electrum Group (Private)</t>
  </si>
  <si>
    <t xml:space="preserve">Private gold development portfolio; Alaska &amp; international</t>
  </si>
  <si>
    <t xml:space="preserve">NovaGold Resources</t>
  </si>
  <si>
    <t xml:space="preserve">NG</t>
  </si>
  <si>
    <t xml:space="preserve">Donlin Gold Alaska JV with Barrick; Kaplan's marquee public bet</t>
  </si>
  <si>
    <t xml:space="preserve">Trilogy Metals</t>
  </si>
  <si>
    <t xml:space="preserve">TMQ</t>
  </si>
  <si>
    <t xml:space="preserve">Alaska copper-cobalt-silver; Upper Kobuk</t>
  </si>
  <si>
    <t xml:space="preserve">Goldstrike Resources</t>
  </si>
  <si>
    <t xml:space="preserve">GSR.V</t>
  </si>
  <si>
    <t xml:space="preserve">BC gold explorer; Electrum-backed</t>
  </si>
  <si>
    <t xml:space="preserve">Relevant Gold Corp</t>
  </si>
  <si>
    <t xml:space="preserve">Private Electrum portfolio company</t>
  </si>
  <si>
    <t xml:space="preserve">Physical Gold Bullion</t>
  </si>
  <si>
    <t xml:space="preserve">Direct metal holdings; monetary conviction</t>
  </si>
  <si>
    <t xml:space="preserve">Cash / Other Alts</t>
  </si>
  <si>
    <t xml:space="preserve">Hedge funds &amp; conservation-linked investments</t>
  </si>
  <si>
    <t xml:space="preserve">Grant Williams</t>
  </si>
  <si>
    <t xml:space="preserve">Grant Williams (TTMYGH / Real Vision)</t>
  </si>
  <si>
    <t xml:space="preserve">Financial author &amp; advisor; 'Things That Make You Go Hmmm.' Strong gold monetary thesis; estimated personal PM allocation.</t>
  </si>
  <si>
    <t xml:space="preserve">Core conviction; monetary reset thesis</t>
  </si>
  <si>
    <t xml:space="preserve">Physical Silver Bullion</t>
  </si>
  <si>
    <t xml:space="preserve">Monetary silver; higher leverage thesis</t>
  </si>
  <si>
    <t xml:space="preserve">Quality royalty; preferred equity expression</t>
  </si>
  <si>
    <t xml:space="preserve">Silver streaming; high-quality management</t>
  </si>
  <si>
    <t xml:space="preserve">Best-in-class miner; Tier-1 assets only</t>
  </si>
  <si>
    <t xml:space="preserve">Senior gold; global scale</t>
  </si>
  <si>
    <t xml:space="preserve">Sprott Physical Gold Trust</t>
  </si>
  <si>
    <t xml:space="preserve">PHYS</t>
  </si>
  <si>
    <t xml:space="preserve">Allocated physical in trust form</t>
  </si>
  <si>
    <t xml:space="preserve">Other Gold Equities</t>
  </si>
  <si>
    <t xml:space="preserve">Basket of quality mid-tier producers</t>
  </si>
  <si>
    <t xml:space="preserve">Mark Bristow (Personal Portfolio + Barrick Gold CEO)</t>
  </si>
  <si>
    <t xml:space="preserve">CEO of Barrick Gold; architect of Randgold merger. Geologist-entrepreneur with deep Africa expertise.</t>
  </si>
  <si>
    <t xml:space="preserve">Primary holding; massive insider ownership &amp; comp</t>
  </si>
  <si>
    <t xml:space="preserve">Kibali JV (Congo)</t>
  </si>
  <si>
    <t xml:space="preserve">World-class gold mine; Barrick-AngloGold JV exposure</t>
  </si>
  <si>
    <t xml:space="preserve">Lumwana Mine (Zambia)</t>
  </si>
  <si>
    <t xml:space="preserve">Copper-gold; Barrick major expansion</t>
  </si>
  <si>
    <t xml:space="preserve">Reko Diq (Pakistan)</t>
  </si>
  <si>
    <t xml:space="preserve">Giant copper-gold; Barrick development project</t>
  </si>
  <si>
    <t xml:space="preserve">Personal Physical Gold</t>
  </si>
  <si>
    <t xml:space="preserve">Direct bullion holdings</t>
  </si>
  <si>
    <t xml:space="preserve">Other Mining Equities</t>
  </si>
  <si>
    <t xml:space="preserve">Diversified senior miner basket</t>
  </si>
  <si>
    <t xml:space="preserve">David Garofalo – Gold Royalties Corp</t>
  </si>
  <si>
    <t xml:space="preserve">David Garofalo (Gold Royalty Corp)</t>
  </si>
  <si>
    <t xml:space="preserve">Former CEO of Goldcorp; Chairman &amp; CEO of Gold Royalty Corp. Built emerging royalty company model.</t>
  </si>
  <si>
    <t xml:space="preserve">Founder &amp; CEO; primary equity position</t>
  </si>
  <si>
    <t xml:space="preserve">Monarch Mining</t>
  </si>
  <si>
    <t xml:space="preserve">GBAR.V</t>
  </si>
  <si>
    <t xml:space="preserve">Quebec gold; royalty feeder strategy</t>
  </si>
  <si>
    <t xml:space="preserve">Quebec focus alignment; quality producer</t>
  </si>
  <si>
    <t xml:space="preserve">Canadian royalty peer; complementary</t>
  </si>
  <si>
    <t xml:space="preserve">Windfall deposit; future royalty target</t>
  </si>
  <si>
    <t xml:space="preserve">Abitibi Royalties</t>
  </si>
  <si>
    <t xml:space="preserve">RZZ.V</t>
  </si>
  <si>
    <t xml:space="preserve">Quebec small royalty co; niche</t>
  </si>
  <si>
    <t xml:space="preserve">Royalty mentor; long-term hold</t>
  </si>
  <si>
    <t xml:space="preserve">Streaming giant; comparative benchmark</t>
  </si>
  <si>
    <t xml:space="preserve">Cash / Pipeline</t>
  </si>
  <si>
    <t xml:space="preserve">Dry powder for royalty acquisitions</t>
  </si>
  <si>
    <t xml:space="preserve">Keith Neumeyer – First Majestic Silver</t>
  </si>
  <si>
    <t xml:space="preserve">Keith Neumeyer (Personal + First Majestic Silver CEO)</t>
  </si>
  <si>
    <t xml:space="preserve">Founder &amp; CEO of First Majestic Silver; formerly founded First Quantum Minerals. Ultra-bullish silver advocate.</t>
  </si>
  <si>
    <t xml:space="preserve">Founder; enormous insider stake; life's work</t>
  </si>
  <si>
    <t xml:space="preserve">FF</t>
  </si>
  <si>
    <t xml:space="preserve">Co-founder; gold bank model; mineral bank strategy</t>
  </si>
  <si>
    <t xml:space="preserve">Physical Silver</t>
  </si>
  <si>
    <t xml:space="preserve">Neumeyer publicly holds physical silver</t>
  </si>
  <si>
    <t xml:space="preserve">Silvercrest Metals</t>
  </si>
  <si>
    <t xml:space="preserve">SIL</t>
  </si>
  <si>
    <t xml:space="preserve">High-grade Mexico silver; sector peer</t>
  </si>
  <si>
    <t xml:space="preserve">Mexico silver peer; friendly competitor</t>
  </si>
  <si>
    <t xml:space="preserve">Tier One Silver</t>
  </si>
  <si>
    <t xml:space="preserve">TSLV.V</t>
  </si>
  <si>
    <t xml:space="preserve">Peru silver explorer; Neumeyer backed</t>
  </si>
  <si>
    <t xml:space="preserve">Retained earnings &amp; other positions</t>
  </si>
  <si>
    <t xml:space="preserve">Bob Quartermaine (Seabridge Gold CEO)</t>
  </si>
  <si>
    <t xml:space="preserve">Founder &amp; CEO of Seabridge Gold; champion of the 'gold bank' resource-per-share model. Conservative &amp; patient.</t>
  </si>
  <si>
    <t xml:space="preserve">Seabridge Gold</t>
  </si>
  <si>
    <t xml:space="preserve">SA</t>
  </si>
  <si>
    <t xml:space="preserve">Massive insider position; KSM + Courageous Lake assets</t>
  </si>
  <si>
    <t xml:space="preserve">Alignment with gold monetary thesis</t>
  </si>
  <si>
    <t xml:space="preserve">Quality partner; potential KSM JV candidate</t>
  </si>
  <si>
    <t xml:space="preserve">Senior miner; KSM partnership potential</t>
  </si>
  <si>
    <t xml:space="preserve">Canadian royalty; Quebec exposure</t>
  </si>
  <si>
    <t xml:space="preserve">Minimal diversification; concentrated believer</t>
  </si>
  <si>
    <t xml:space="preserve">Tavi Costa (Crescat Capital)</t>
  </si>
  <si>
    <t xml:space="preserve">Portfolio manager &amp; macro strategist at Crescat Capital. Known for aggressive junior mining + physical gold thesis driven by macro cycle analysis.</t>
  </si>
  <si>
    <t xml:space="preserve">Physical Gold &amp; GLD</t>
  </si>
  <si>
    <t xml:space="preserve">GLD</t>
  </si>
  <si>
    <t xml:space="preserve">Macro anchor; monetary debasement play</t>
  </si>
  <si>
    <t xml:space="preserve">Physical Silver &amp; SLV</t>
  </si>
  <si>
    <t xml:space="preserve">SLV</t>
  </si>
  <si>
    <t xml:space="preserve">Higher beta to gold thesis</t>
  </si>
  <si>
    <t xml:space="preserve">Nevada; Crescat-backed explorer</t>
  </si>
  <si>
    <t xml:space="preserve">Chile silver; Crescat investment</t>
  </si>
  <si>
    <t xml:space="preserve">New Found Gold</t>
  </si>
  <si>
    <t xml:space="preserve">NFG.V</t>
  </si>
  <si>
    <t xml:space="preserve">Newfoundland high-grade; Crescat backer</t>
  </si>
  <si>
    <t xml:space="preserve">Snowline Gold</t>
  </si>
  <si>
    <t xml:space="preserve">SGD.V</t>
  </si>
  <si>
    <t xml:space="preserve">Yukon; exceptional discovery; Crescat-backed</t>
  </si>
  <si>
    <t xml:space="preserve">Arizona Sonoran Copper</t>
  </si>
  <si>
    <t xml:space="preserve">ASCU</t>
  </si>
  <si>
    <t xml:space="preserve">Copper-gold; macro metals basket</t>
  </si>
  <si>
    <t xml:space="preserve">BC silver; Crescat supported placement</t>
  </si>
  <si>
    <t xml:space="preserve">Irwin Silver</t>
  </si>
  <si>
    <t xml:space="preserve">Private placement; Crescat deal</t>
  </si>
  <si>
    <t xml:space="preserve">Collective Mining</t>
  </si>
  <si>
    <t xml:space="preserve">CNL</t>
  </si>
  <si>
    <t xml:space="preserve">Colombia copper-gold; Guayabales discovery</t>
  </si>
  <si>
    <t xml:space="preserve">Mexico high-grade silver</t>
  </si>
  <si>
    <t xml:space="preserve">Cash / Macro Hedges</t>
  </si>
  <si>
    <t xml:space="preserve">Crescat runs liquid macro strategies alongside PM</t>
  </si>
  <si>
    <t xml:space="preserve">Brien Lundin (Gold Newsletter / New Orleans Investment Conference)</t>
  </si>
  <si>
    <t xml:space="preserve">Editor of Gold Newsletter (oldest investment newsletter in US); conference organizer. Diversified PM investor.</t>
  </si>
  <si>
    <t xml:space="preserve">Physical Gold Coins/Bars</t>
  </si>
  <si>
    <t xml:space="preserve">Core monetary position; newsletter founding thesis</t>
  </si>
  <si>
    <t xml:space="preserve">Nevada district; longtime coverage</t>
  </si>
  <si>
    <t xml:space="preserve">Fortitude Gold</t>
  </si>
  <si>
    <t xml:space="preserve">FTCO</t>
  </si>
  <si>
    <t xml:space="preserve">Nevada producer; high-margin ops</t>
  </si>
  <si>
    <t xml:space="preserve">Idaho gold; open pit development</t>
  </si>
  <si>
    <t xml:space="preserve">Idaho Beartrack restart</t>
  </si>
  <si>
    <t xml:space="preserve">Torchlight Energy/Meta</t>
  </si>
  <si>
    <t xml:space="preserve">Speculative holding</t>
  </si>
  <si>
    <t xml:space="preserve">Nevada silver-gold</t>
  </si>
  <si>
    <t xml:space="preserve">Comstock Metals</t>
  </si>
  <si>
    <t xml:space="preserve">CMET.V</t>
  </si>
  <si>
    <t xml:space="preserve">Nevada processing spin-off</t>
  </si>
  <si>
    <t xml:space="preserve">Allegra Gold</t>
  </si>
  <si>
    <t xml:space="preserve">ALGR.V</t>
  </si>
  <si>
    <t xml:space="preserve">Yukon gold; newsletter pick</t>
  </si>
  <si>
    <t xml:space="preserve">Nevada Railroad District</t>
  </si>
  <si>
    <t xml:space="preserve">Silver major; defensive holding</t>
  </si>
  <si>
    <t xml:space="preserve">Silver pure-play; leveraged upside</t>
  </si>
  <si>
    <t xml:space="preserve">Cash / Other Metals</t>
  </si>
  <si>
    <t xml:space="preserve">Diversified across metals spectrum</t>
  </si>
  <si>
    <t xml:space="preserve">Rob McEwen (McEwen Mining Founder &amp; CEO)</t>
  </si>
  <si>
    <t xml:space="preserve">Built Goldcorp into a major gold producer; founded McEwen Mining. Famous for 100% personal salary in company stock.</t>
  </si>
  <si>
    <t xml:space="preserve">McEwen Mining</t>
  </si>
  <si>
    <t xml:space="preserve">MUX</t>
  </si>
  <si>
    <t xml:space="preserve">Founder; &gt;25% personal ownership; no salary taken in cash</t>
  </si>
  <si>
    <t xml:space="preserve">McEwen Copper (private)</t>
  </si>
  <si>
    <t xml:space="preserve">Los Azules Argentina; major copper-gold porphyry</t>
  </si>
  <si>
    <t xml:space="preserve">Lexam VG Gold (hist.)</t>
  </si>
  <si>
    <t xml:space="preserve">Folded into McEwen; legacy position</t>
  </si>
  <si>
    <t xml:space="preserve">Physical Gold</t>
  </si>
  <si>
    <t xml:space="preserve">Direct bullion; monetary conviction</t>
  </si>
  <si>
    <t xml:space="preserve">Other Miners</t>
  </si>
  <si>
    <t xml:space="preserve">Diversified basket of gold peers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</si>
</sst>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D700"/>
      <name val="Calibri"/>
      <family val="0"/>
      <charset val="1"/>
    </font>
    <font>
      <i val="true"/>
      <sz val="9"/>
      <color rgb="FFC0C0C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4A4A4A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9"/>
      <color rgb="FF1A1A1A"/>
      <name val="Calibri"/>
      <family val="0"/>
      <charset val="1"/>
    </font>
    <font>
      <i val="true"/>
      <sz val="8"/>
      <color rgb="FFC0C0C0"/>
      <name val="Calibri"/>
      <family val="0"/>
      <charset val="1"/>
    </font>
    <font>
      <b val="true"/>
      <sz val="14"/>
      <color rgb="FFFFD700"/>
      <name val="Calibri"/>
      <family val="0"/>
      <charset val="1"/>
    </font>
    <font>
      <i val="true"/>
      <sz val="10"/>
      <color rgb="FFC0C0C0"/>
      <name val="Calibri"/>
      <family val="0"/>
      <charset val="1"/>
    </font>
    <font>
      <i val="true"/>
      <sz val="9"/>
      <color rgb="FF4A4A4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9"/>
      <color rgb="FF1E6B3C"/>
      <name val="Calibri"/>
      <family val="0"/>
      <charset val="1"/>
    </font>
    <font>
      <b val="true"/>
      <sz val="10"/>
      <color rgb="FFFFD700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4A4A4A"/>
        <bgColor rgb="FF2D2D2D"/>
      </patternFill>
    </fill>
    <fill>
      <patternFill patternType="solid">
        <fgColor rgb="FFB8860B"/>
        <bgColor rgb="FFC8860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D2D2D"/>
        <bgColor rgb="FF1A1A1A"/>
      </patternFill>
    </fill>
    <fill>
      <patternFill patternType="solid">
        <fgColor rgb="FFC8860A"/>
        <bgColor rgb="FFB8860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C8860A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4A4A4A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3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.75" hidden="false" customHeight="true" outlineLevel="0" collapsed="false">
      <c r="A4" s="4" t="n">
        <v>1</v>
      </c>
      <c r="B4" s="5" t="s">
        <v>8</v>
      </c>
      <c r="C4" s="6" t="s">
        <v>9</v>
      </c>
      <c r="D4" s="7" t="s">
        <v>10</v>
      </c>
      <c r="E4" s="7" t="s">
        <v>11</v>
      </c>
      <c r="F4" s="6" t="s">
        <v>12</v>
      </c>
    </row>
    <row r="5" customFormat="false" ht="15.75" hidden="false" customHeight="true" outlineLevel="0" collapsed="false">
      <c r="A5" s="8" t="n">
        <v>2</v>
      </c>
      <c r="B5" s="9" t="s">
        <v>13</v>
      </c>
      <c r="C5" s="10" t="s">
        <v>14</v>
      </c>
      <c r="D5" s="11" t="s">
        <v>15</v>
      </c>
      <c r="E5" s="11" t="s">
        <v>16</v>
      </c>
      <c r="F5" s="10" t="s">
        <v>17</v>
      </c>
    </row>
    <row r="6" customFormat="false" ht="15.75" hidden="false" customHeight="true" outlineLevel="0" collapsed="false">
      <c r="A6" s="4" t="n">
        <v>3</v>
      </c>
      <c r="B6" s="5" t="s">
        <v>18</v>
      </c>
      <c r="C6" s="6" t="s">
        <v>19</v>
      </c>
      <c r="D6" s="7" t="s">
        <v>20</v>
      </c>
      <c r="E6" s="7" t="s">
        <v>21</v>
      </c>
      <c r="F6" s="6" t="s">
        <v>22</v>
      </c>
    </row>
    <row r="7" customFormat="false" ht="15.75" hidden="false" customHeight="true" outlineLevel="0" collapsed="false">
      <c r="A7" s="8" t="n">
        <v>4</v>
      </c>
      <c r="B7" s="9" t="s">
        <v>23</v>
      </c>
      <c r="C7" s="10" t="s">
        <v>24</v>
      </c>
      <c r="D7" s="11" t="s">
        <v>25</v>
      </c>
      <c r="E7" s="11" t="s">
        <v>11</v>
      </c>
      <c r="F7" s="10" t="s">
        <v>26</v>
      </c>
    </row>
    <row r="8" customFormat="false" ht="15.75" hidden="false" customHeight="true" outlineLevel="0" collapsed="false">
      <c r="A8" s="4" t="n">
        <v>5</v>
      </c>
      <c r="B8" s="5" t="s">
        <v>27</v>
      </c>
      <c r="C8" s="6" t="s">
        <v>28</v>
      </c>
      <c r="D8" s="7" t="s">
        <v>15</v>
      </c>
      <c r="E8" s="7" t="s">
        <v>29</v>
      </c>
      <c r="F8" s="6" t="s">
        <v>30</v>
      </c>
    </row>
    <row r="9" customFormat="false" ht="15.75" hidden="false" customHeight="true" outlineLevel="0" collapsed="false">
      <c r="A9" s="8" t="n">
        <v>6</v>
      </c>
      <c r="B9" s="9" t="s">
        <v>31</v>
      </c>
      <c r="C9" s="10" t="s">
        <v>32</v>
      </c>
      <c r="D9" s="11" t="s">
        <v>33</v>
      </c>
      <c r="E9" s="11" t="s">
        <v>34</v>
      </c>
      <c r="F9" s="10" t="s">
        <v>35</v>
      </c>
    </row>
    <row r="10" customFormat="false" ht="15.75" hidden="false" customHeight="true" outlineLevel="0" collapsed="false">
      <c r="A10" s="4" t="n">
        <v>7</v>
      </c>
      <c r="B10" s="5" t="s">
        <v>36</v>
      </c>
      <c r="C10" s="6" t="s">
        <v>9</v>
      </c>
      <c r="D10" s="7" t="s">
        <v>37</v>
      </c>
      <c r="E10" s="7" t="s">
        <v>38</v>
      </c>
      <c r="F10" s="6" t="s">
        <v>39</v>
      </c>
    </row>
    <row r="11" customFormat="false" ht="15.75" hidden="false" customHeight="true" outlineLevel="0" collapsed="false">
      <c r="A11" s="8" t="n">
        <v>8</v>
      </c>
      <c r="B11" s="9" t="s">
        <v>40</v>
      </c>
      <c r="C11" s="10" t="s">
        <v>41</v>
      </c>
      <c r="D11" s="11" t="s">
        <v>10</v>
      </c>
      <c r="E11" s="11" t="s">
        <v>11</v>
      </c>
      <c r="F11" s="10" t="s">
        <v>42</v>
      </c>
    </row>
    <row r="12" customFormat="false" ht="15.75" hidden="false" customHeight="true" outlineLevel="0" collapsed="false">
      <c r="A12" s="4" t="n">
        <v>9</v>
      </c>
      <c r="B12" s="5" t="s">
        <v>43</v>
      </c>
      <c r="C12" s="6" t="s">
        <v>44</v>
      </c>
      <c r="D12" s="7" t="s">
        <v>37</v>
      </c>
      <c r="E12" s="7" t="s">
        <v>45</v>
      </c>
      <c r="F12" s="6" t="s">
        <v>46</v>
      </c>
    </row>
    <row r="13" customFormat="false" ht="15.75" hidden="false" customHeight="true" outlineLevel="0" collapsed="false">
      <c r="A13" s="8" t="n">
        <v>10</v>
      </c>
      <c r="B13" s="9" t="s">
        <v>47</v>
      </c>
      <c r="C13" s="10" t="s">
        <v>48</v>
      </c>
      <c r="D13" s="11" t="s">
        <v>49</v>
      </c>
      <c r="E13" s="11" t="s">
        <v>11</v>
      </c>
      <c r="F13" s="10" t="s">
        <v>50</v>
      </c>
    </row>
    <row r="14" customFormat="false" ht="15.75" hidden="false" customHeight="true" outlineLevel="0" collapsed="false">
      <c r="A14" s="4" t="n">
        <v>11</v>
      </c>
      <c r="B14" s="5" t="s">
        <v>51</v>
      </c>
      <c r="C14" s="6" t="s">
        <v>52</v>
      </c>
      <c r="D14" s="7" t="s">
        <v>53</v>
      </c>
      <c r="E14" s="7" t="s">
        <v>54</v>
      </c>
      <c r="F14" s="6" t="s">
        <v>55</v>
      </c>
    </row>
    <row r="15" customFormat="false" ht="15.75" hidden="false" customHeight="true" outlineLevel="0" collapsed="false">
      <c r="A15" s="8" t="n">
        <v>12</v>
      </c>
      <c r="B15" s="9" t="s">
        <v>56</v>
      </c>
      <c r="C15" s="10" t="s">
        <v>57</v>
      </c>
      <c r="D15" s="11" t="s">
        <v>58</v>
      </c>
      <c r="E15" s="11" t="s">
        <v>29</v>
      </c>
      <c r="F15" s="10" t="s">
        <v>59</v>
      </c>
    </row>
    <row r="16" customFormat="false" ht="15.75" hidden="false" customHeight="true" outlineLevel="0" collapsed="false">
      <c r="A16" s="4" t="n">
        <v>13</v>
      </c>
      <c r="B16" s="5" t="s">
        <v>60</v>
      </c>
      <c r="C16" s="6" t="s">
        <v>61</v>
      </c>
      <c r="D16" s="7" t="s">
        <v>62</v>
      </c>
      <c r="E16" s="7" t="s">
        <v>29</v>
      </c>
      <c r="F16" s="6" t="s">
        <v>63</v>
      </c>
    </row>
    <row r="17" customFormat="false" ht="15.75" hidden="false" customHeight="true" outlineLevel="0" collapsed="false">
      <c r="A17" s="8" t="n">
        <v>14</v>
      </c>
      <c r="B17" s="9" t="s">
        <v>64</v>
      </c>
      <c r="C17" s="10" t="s">
        <v>65</v>
      </c>
      <c r="D17" s="11" t="s">
        <v>58</v>
      </c>
      <c r="E17" s="11" t="s">
        <v>66</v>
      </c>
      <c r="F17" s="10" t="s">
        <v>67</v>
      </c>
    </row>
    <row r="18" customFormat="false" ht="15.75" hidden="false" customHeight="true" outlineLevel="0" collapsed="false">
      <c r="A18" s="4" t="n">
        <v>15</v>
      </c>
      <c r="B18" s="5" t="s">
        <v>68</v>
      </c>
      <c r="C18" s="6" t="s">
        <v>69</v>
      </c>
      <c r="D18" s="7" t="s">
        <v>70</v>
      </c>
      <c r="E18" s="7" t="s">
        <v>45</v>
      </c>
      <c r="F18" s="6" t="s">
        <v>71</v>
      </c>
    </row>
    <row r="19" customFormat="false" ht="15.75" hidden="false" customHeight="true" outlineLevel="0" collapsed="false">
      <c r="A19" s="8" t="n">
        <v>16</v>
      </c>
      <c r="B19" s="9" t="s">
        <v>72</v>
      </c>
      <c r="C19" s="10" t="s">
        <v>73</v>
      </c>
      <c r="D19" s="11" t="s">
        <v>25</v>
      </c>
      <c r="E19" s="11" t="s">
        <v>74</v>
      </c>
      <c r="F19" s="10" t="s">
        <v>75</v>
      </c>
    </row>
    <row r="20" customFormat="false" ht="15.75" hidden="false" customHeight="true" outlineLevel="0" collapsed="false">
      <c r="A20" s="4" t="n">
        <v>17</v>
      </c>
      <c r="B20" s="5" t="s">
        <v>76</v>
      </c>
      <c r="C20" s="6" t="s">
        <v>57</v>
      </c>
      <c r="D20" s="7" t="s">
        <v>77</v>
      </c>
      <c r="E20" s="7" t="s">
        <v>78</v>
      </c>
      <c r="F20" s="6" t="s">
        <v>79</v>
      </c>
    </row>
    <row r="21" customFormat="false" ht="15.75" hidden="false" customHeight="true" outlineLevel="0" collapsed="false">
      <c r="A21" s="8" t="n">
        <v>18</v>
      </c>
      <c r="B21" s="9" t="s">
        <v>80</v>
      </c>
      <c r="C21" s="10" t="s">
        <v>73</v>
      </c>
      <c r="D21" s="11" t="s">
        <v>15</v>
      </c>
      <c r="E21" s="11" t="s">
        <v>66</v>
      </c>
      <c r="F21" s="10" t="s">
        <v>81</v>
      </c>
    </row>
    <row r="22" customFormat="false" ht="15.75" hidden="false" customHeight="true" outlineLevel="0" collapsed="false">
      <c r="A22" s="4" t="n">
        <v>19</v>
      </c>
      <c r="B22" s="5" t="s">
        <v>82</v>
      </c>
      <c r="C22" s="6" t="s">
        <v>73</v>
      </c>
      <c r="D22" s="7" t="s">
        <v>33</v>
      </c>
      <c r="E22" s="7" t="s">
        <v>74</v>
      </c>
      <c r="F22" s="6" t="s">
        <v>83</v>
      </c>
    </row>
    <row r="23" customFormat="false" ht="15.75" hidden="false" customHeight="true" outlineLevel="0" collapsed="false">
      <c r="A23" s="8" t="n">
        <v>20</v>
      </c>
      <c r="B23" s="9" t="s">
        <v>84</v>
      </c>
      <c r="C23" s="10" t="s">
        <v>85</v>
      </c>
      <c r="D23" s="11" t="s">
        <v>49</v>
      </c>
      <c r="E23" s="11" t="s">
        <v>34</v>
      </c>
      <c r="F23" s="10" t="s">
        <v>86</v>
      </c>
    </row>
    <row r="24" customFormat="false" ht="15.75" hidden="false" customHeight="true" outlineLevel="0" collapsed="false">
      <c r="A24" s="4" t="n">
        <v>21</v>
      </c>
      <c r="B24" s="5" t="s">
        <v>87</v>
      </c>
      <c r="C24" s="6" t="s">
        <v>88</v>
      </c>
      <c r="D24" s="7" t="s">
        <v>89</v>
      </c>
      <c r="E24" s="7" t="s">
        <v>54</v>
      </c>
      <c r="F24" s="6" t="s">
        <v>90</v>
      </c>
    </row>
    <row r="25" customFormat="false" ht="15.75" hidden="false" customHeight="true" outlineLevel="0" collapsed="false">
      <c r="A25" s="8" t="n">
        <v>22</v>
      </c>
      <c r="B25" s="9" t="s">
        <v>91</v>
      </c>
      <c r="C25" s="10" t="s">
        <v>73</v>
      </c>
      <c r="D25" s="11" t="s">
        <v>25</v>
      </c>
      <c r="E25" s="11" t="s">
        <v>92</v>
      </c>
      <c r="F25" s="10" t="s">
        <v>93</v>
      </c>
    </row>
    <row r="27" customFormat="false" ht="15.75" hidden="false" customHeight="true" outlineLevel="0" collapsed="false">
      <c r="A27" s="12" t="s">
        <v>94</v>
      </c>
      <c r="B27" s="12"/>
      <c r="C27" s="12"/>
      <c r="D27" s="12"/>
      <c r="E27" s="12"/>
      <c r="F27" s="12"/>
    </row>
  </sheetData>
  <mergeCells count="3">
    <mergeCell ref="A1:F1"/>
    <mergeCell ref="A2:F2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95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96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97</v>
      </c>
      <c r="B3" s="15"/>
      <c r="C3" s="15"/>
      <c r="D3" s="15"/>
      <c r="E3" s="15"/>
    </row>
    <row r="4" customFormat="false" ht="19.5" hidden="false" customHeight="true" outlineLevel="0" collapsed="false">
      <c r="A4" s="3" t="s">
        <v>2</v>
      </c>
      <c r="B4" s="3" t="s">
        <v>98</v>
      </c>
      <c r="C4" s="3" t="s">
        <v>99</v>
      </c>
      <c r="D4" s="3" t="s">
        <v>100</v>
      </c>
      <c r="E4" s="3" t="s">
        <v>101</v>
      </c>
    </row>
    <row r="5" customFormat="false" ht="15.75" hidden="false" customHeight="true" outlineLevel="0" collapsed="false">
      <c r="A5" s="4" t="n">
        <v>1</v>
      </c>
      <c r="B5" s="16" t="s">
        <v>102</v>
      </c>
      <c r="C5" s="17" t="s">
        <v>103</v>
      </c>
      <c r="D5" s="18" t="n">
        <v>18</v>
      </c>
      <c r="E5" s="19" t="s">
        <v>104</v>
      </c>
    </row>
    <row r="6" customFormat="false" ht="15.75" hidden="false" customHeight="true" outlineLevel="0" collapsed="false">
      <c r="A6" s="8" t="n">
        <v>2</v>
      </c>
      <c r="B6" s="20" t="s">
        <v>105</v>
      </c>
      <c r="C6" s="21" t="s">
        <v>106</v>
      </c>
      <c r="D6" s="22" t="n">
        <v>14</v>
      </c>
      <c r="E6" s="23" t="s">
        <v>107</v>
      </c>
    </row>
    <row r="7" customFormat="false" ht="15.75" hidden="false" customHeight="true" outlineLevel="0" collapsed="false">
      <c r="A7" s="4" t="n">
        <v>3</v>
      </c>
      <c r="B7" s="16" t="s">
        <v>108</v>
      </c>
      <c r="C7" s="17" t="s">
        <v>109</v>
      </c>
      <c r="D7" s="18" t="n">
        <v>12</v>
      </c>
      <c r="E7" s="19" t="s">
        <v>110</v>
      </c>
    </row>
    <row r="8" customFormat="false" ht="15.75" hidden="false" customHeight="true" outlineLevel="0" collapsed="false">
      <c r="A8" s="8" t="n">
        <v>4</v>
      </c>
      <c r="B8" s="20" t="s">
        <v>111</v>
      </c>
      <c r="C8" s="21" t="s">
        <v>112</v>
      </c>
      <c r="D8" s="22" t="n">
        <v>10</v>
      </c>
      <c r="E8" s="23" t="s">
        <v>113</v>
      </c>
    </row>
    <row r="9" customFormat="false" ht="15.75" hidden="false" customHeight="true" outlineLevel="0" collapsed="false">
      <c r="A9" s="4" t="n">
        <v>5</v>
      </c>
      <c r="B9" s="16" t="s">
        <v>114</v>
      </c>
      <c r="C9" s="17" t="s">
        <v>115</v>
      </c>
      <c r="D9" s="18" t="n">
        <v>8</v>
      </c>
      <c r="E9" s="19" t="s">
        <v>116</v>
      </c>
    </row>
    <row r="10" customFormat="false" ht="15.75" hidden="false" customHeight="true" outlineLevel="0" collapsed="false">
      <c r="A10" s="8" t="n">
        <v>6</v>
      </c>
      <c r="B10" s="20" t="s">
        <v>117</v>
      </c>
      <c r="C10" s="21" t="s">
        <v>118</v>
      </c>
      <c r="D10" s="22" t="n">
        <v>8</v>
      </c>
      <c r="E10" s="23" t="s">
        <v>119</v>
      </c>
    </row>
    <row r="11" customFormat="false" ht="15.75" hidden="false" customHeight="true" outlineLevel="0" collapsed="false">
      <c r="A11" s="4" t="n">
        <v>7</v>
      </c>
      <c r="B11" s="16" t="s">
        <v>120</v>
      </c>
      <c r="C11" s="17" t="s">
        <v>121</v>
      </c>
      <c r="D11" s="18" t="n">
        <v>7</v>
      </c>
      <c r="E11" s="19" t="s">
        <v>122</v>
      </c>
    </row>
    <row r="12" customFormat="false" ht="15.75" hidden="false" customHeight="true" outlineLevel="0" collapsed="false">
      <c r="A12" s="8" t="n">
        <v>8</v>
      </c>
      <c r="B12" s="20" t="s">
        <v>123</v>
      </c>
      <c r="C12" s="21" t="s">
        <v>124</v>
      </c>
      <c r="D12" s="22" t="n">
        <v>7</v>
      </c>
      <c r="E12" s="23" t="s">
        <v>125</v>
      </c>
    </row>
    <row r="13" customFormat="false" ht="15.75" hidden="false" customHeight="true" outlineLevel="0" collapsed="false">
      <c r="A13" s="4" t="n">
        <v>9</v>
      </c>
      <c r="B13" s="16" t="s">
        <v>126</v>
      </c>
      <c r="C13" s="17" t="s">
        <v>127</v>
      </c>
      <c r="D13" s="18" t="n">
        <v>6</v>
      </c>
      <c r="E13" s="19" t="s">
        <v>128</v>
      </c>
    </row>
    <row r="14" customFormat="false" ht="15.75" hidden="false" customHeight="true" outlineLevel="0" collapsed="false">
      <c r="A14" s="8" t="n">
        <v>10</v>
      </c>
      <c r="B14" s="20" t="s">
        <v>129</v>
      </c>
      <c r="C14" s="21" t="s">
        <v>130</v>
      </c>
      <c r="D14" s="22" t="n">
        <v>5</v>
      </c>
      <c r="E14" s="23" t="s">
        <v>131</v>
      </c>
    </row>
    <row r="15" customFormat="false" ht="15.75" hidden="false" customHeight="true" outlineLevel="0" collapsed="false">
      <c r="A15" s="4" t="n">
        <v>11</v>
      </c>
      <c r="B15" s="16" t="s">
        <v>132</v>
      </c>
      <c r="C15" s="17" t="s">
        <v>133</v>
      </c>
      <c r="D15" s="18" t="n">
        <v>5</v>
      </c>
      <c r="E15" s="19" t="s">
        <v>134</v>
      </c>
    </row>
    <row r="16" customFormat="false" ht="15" hidden="false" customHeight="true" outlineLevel="0" collapsed="false">
      <c r="A16" s="24" t="s">
        <v>135</v>
      </c>
      <c r="B16" s="24"/>
      <c r="C16" s="24"/>
      <c r="D16" s="25" t="n">
        <f aca="false">SUM(D5:D15)</f>
        <v>100</v>
      </c>
      <c r="E16" s="26"/>
    </row>
  </sheetData>
  <mergeCells count="4">
    <mergeCell ref="A1:E1"/>
    <mergeCell ref="A2:E2"/>
    <mergeCell ref="A3:E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13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136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137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139</v>
      </c>
      <c r="C6" s="17" t="s">
        <v>140</v>
      </c>
      <c r="D6" s="18" t="n">
        <v>8</v>
      </c>
      <c r="E6" s="19" t="s">
        <v>141</v>
      </c>
    </row>
    <row r="7" customFormat="false" ht="15.75" hidden="false" customHeight="true" outlineLevel="0" collapsed="false">
      <c r="A7" s="8" t="n">
        <v>2</v>
      </c>
      <c r="B7" s="20" t="s">
        <v>142</v>
      </c>
      <c r="C7" s="21" t="s">
        <v>143</v>
      </c>
      <c r="D7" s="22" t="n">
        <v>7</v>
      </c>
      <c r="E7" s="23" t="s">
        <v>144</v>
      </c>
    </row>
    <row r="8" customFormat="false" ht="15.75" hidden="false" customHeight="true" outlineLevel="0" collapsed="false">
      <c r="A8" s="4" t="n">
        <v>3</v>
      </c>
      <c r="B8" s="16" t="s">
        <v>145</v>
      </c>
      <c r="C8" s="17" t="s">
        <v>146</v>
      </c>
      <c r="D8" s="18" t="n">
        <v>6</v>
      </c>
      <c r="E8" s="19" t="s">
        <v>147</v>
      </c>
    </row>
    <row r="9" customFormat="false" ht="15.75" hidden="false" customHeight="true" outlineLevel="0" collapsed="false">
      <c r="A9" s="8" t="n">
        <v>4</v>
      </c>
      <c r="B9" s="20" t="s">
        <v>148</v>
      </c>
      <c r="C9" s="21" t="s">
        <v>149</v>
      </c>
      <c r="D9" s="22" t="n">
        <v>5</v>
      </c>
      <c r="E9" s="23" t="s">
        <v>150</v>
      </c>
    </row>
    <row r="10" customFormat="false" ht="15.75" hidden="false" customHeight="true" outlineLevel="0" collapsed="false">
      <c r="A10" s="4" t="n">
        <v>5</v>
      </c>
      <c r="B10" s="16" t="s">
        <v>151</v>
      </c>
      <c r="C10" s="17" t="s">
        <v>152</v>
      </c>
      <c r="D10" s="18" t="n">
        <v>5</v>
      </c>
      <c r="E10" s="19" t="s">
        <v>153</v>
      </c>
    </row>
    <row r="11" customFormat="false" ht="15.75" hidden="false" customHeight="true" outlineLevel="0" collapsed="false">
      <c r="A11" s="8" t="n">
        <v>6</v>
      </c>
      <c r="B11" s="20" t="s">
        <v>154</v>
      </c>
      <c r="C11" s="21" t="s">
        <v>155</v>
      </c>
      <c r="D11" s="22" t="n">
        <v>5</v>
      </c>
      <c r="E11" s="23" t="s">
        <v>156</v>
      </c>
    </row>
    <row r="12" customFormat="false" ht="15.75" hidden="false" customHeight="true" outlineLevel="0" collapsed="false">
      <c r="A12" s="4" t="n">
        <v>7</v>
      </c>
      <c r="B12" s="16" t="s">
        <v>157</v>
      </c>
      <c r="C12" s="17" t="s">
        <v>158</v>
      </c>
      <c r="D12" s="18" t="n">
        <v>5</v>
      </c>
      <c r="E12" s="19" t="s">
        <v>159</v>
      </c>
    </row>
    <row r="13" customFormat="false" ht="15.75" hidden="false" customHeight="true" outlineLevel="0" collapsed="false">
      <c r="A13" s="8" t="n">
        <v>8</v>
      </c>
      <c r="B13" s="20" t="s">
        <v>160</v>
      </c>
      <c r="C13" s="21" t="s">
        <v>161</v>
      </c>
      <c r="D13" s="22" t="n">
        <v>4</v>
      </c>
      <c r="E13" s="23" t="s">
        <v>162</v>
      </c>
    </row>
    <row r="14" customFormat="false" ht="15.75" hidden="false" customHeight="true" outlineLevel="0" collapsed="false">
      <c r="A14" s="4" t="n">
        <v>9</v>
      </c>
      <c r="B14" s="16" t="s">
        <v>163</v>
      </c>
      <c r="C14" s="17" t="s">
        <v>164</v>
      </c>
      <c r="D14" s="18" t="n">
        <v>4</v>
      </c>
      <c r="E14" s="19" t="s">
        <v>165</v>
      </c>
    </row>
    <row r="15" customFormat="false" ht="15.75" hidden="false" customHeight="true" outlineLevel="0" collapsed="false">
      <c r="A15" s="8" t="n">
        <v>10</v>
      </c>
      <c r="B15" s="20" t="s">
        <v>166</v>
      </c>
      <c r="C15" s="21" t="s">
        <v>167</v>
      </c>
      <c r="D15" s="22" t="n">
        <v>4</v>
      </c>
      <c r="E15" s="23" t="s">
        <v>168</v>
      </c>
    </row>
    <row r="16" customFormat="false" ht="15.75" hidden="false" customHeight="true" outlineLevel="0" collapsed="false">
      <c r="A16" s="4" t="n">
        <v>11</v>
      </c>
      <c r="B16" s="16" t="s">
        <v>169</v>
      </c>
      <c r="C16" s="17" t="s">
        <v>170</v>
      </c>
      <c r="D16" s="18" t="n">
        <v>4</v>
      </c>
      <c r="E16" s="19" t="s">
        <v>171</v>
      </c>
    </row>
    <row r="17" customFormat="false" ht="15.75" hidden="false" customHeight="true" outlineLevel="0" collapsed="false">
      <c r="A17" s="8" t="n">
        <v>12</v>
      </c>
      <c r="B17" s="20" t="s">
        <v>172</v>
      </c>
      <c r="C17" s="21" t="s">
        <v>173</v>
      </c>
      <c r="D17" s="22" t="n">
        <v>4</v>
      </c>
      <c r="E17" s="23" t="s">
        <v>174</v>
      </c>
    </row>
    <row r="18" customFormat="false" ht="15.75" hidden="false" customHeight="true" outlineLevel="0" collapsed="false">
      <c r="A18" s="4" t="n">
        <v>13</v>
      </c>
      <c r="B18" s="16" t="s">
        <v>175</v>
      </c>
      <c r="C18" s="17" t="s">
        <v>176</v>
      </c>
      <c r="D18" s="18" t="n">
        <v>4</v>
      </c>
      <c r="E18" s="19" t="s">
        <v>177</v>
      </c>
    </row>
    <row r="19" customFormat="false" ht="15.75" hidden="false" customHeight="true" outlineLevel="0" collapsed="false">
      <c r="A19" s="8" t="n">
        <v>14</v>
      </c>
      <c r="B19" s="20" t="s">
        <v>178</v>
      </c>
      <c r="C19" s="21" t="s">
        <v>179</v>
      </c>
      <c r="D19" s="22" t="n">
        <v>3</v>
      </c>
      <c r="E19" s="23" t="s">
        <v>180</v>
      </c>
    </row>
    <row r="20" customFormat="false" ht="15.75" hidden="false" customHeight="true" outlineLevel="0" collapsed="false">
      <c r="A20" s="4" t="n">
        <v>15</v>
      </c>
      <c r="B20" s="16" t="s">
        <v>181</v>
      </c>
      <c r="C20" s="17" t="s">
        <v>182</v>
      </c>
      <c r="D20" s="18" t="n">
        <v>3</v>
      </c>
      <c r="E20" s="19" t="s">
        <v>183</v>
      </c>
    </row>
    <row r="21" customFormat="false" ht="15.75" hidden="false" customHeight="true" outlineLevel="0" collapsed="false">
      <c r="A21" s="8" t="n">
        <v>16</v>
      </c>
      <c r="B21" s="20" t="s">
        <v>184</v>
      </c>
      <c r="C21" s="21" t="s">
        <v>185</v>
      </c>
      <c r="D21" s="22" t="n">
        <v>3</v>
      </c>
      <c r="E21" s="23" t="s">
        <v>186</v>
      </c>
    </row>
    <row r="22" customFormat="false" ht="15.75" hidden="false" customHeight="true" outlineLevel="0" collapsed="false">
      <c r="A22" s="4" t="n">
        <v>17</v>
      </c>
      <c r="B22" s="16" t="s">
        <v>187</v>
      </c>
      <c r="C22" s="17" t="s">
        <v>188</v>
      </c>
      <c r="D22" s="18" t="n">
        <v>3</v>
      </c>
      <c r="E22" s="19" t="s">
        <v>189</v>
      </c>
    </row>
    <row r="23" customFormat="false" ht="15.75" hidden="false" customHeight="true" outlineLevel="0" collapsed="false">
      <c r="A23" s="8" t="n">
        <v>18</v>
      </c>
      <c r="B23" s="20" t="s">
        <v>190</v>
      </c>
      <c r="C23" s="21" t="s">
        <v>191</v>
      </c>
      <c r="D23" s="22" t="n">
        <v>3</v>
      </c>
      <c r="E23" s="23" t="s">
        <v>192</v>
      </c>
    </row>
    <row r="24" customFormat="false" ht="15.75" hidden="false" customHeight="true" outlineLevel="0" collapsed="false">
      <c r="A24" s="4" t="n">
        <v>19</v>
      </c>
      <c r="B24" s="16" t="s">
        <v>193</v>
      </c>
      <c r="C24" s="17" t="s">
        <v>194</v>
      </c>
      <c r="D24" s="18" t="n">
        <v>3</v>
      </c>
      <c r="E24" s="19" t="s">
        <v>195</v>
      </c>
    </row>
    <row r="25" customFormat="false" ht="15.75" hidden="false" customHeight="true" outlineLevel="0" collapsed="false">
      <c r="A25" s="8" t="n">
        <v>20</v>
      </c>
      <c r="B25" s="20" t="s">
        <v>196</v>
      </c>
      <c r="C25" s="21" t="s">
        <v>197</v>
      </c>
      <c r="D25" s="22" t="n">
        <v>6</v>
      </c>
      <c r="E25" s="23" t="s">
        <v>198</v>
      </c>
    </row>
    <row r="26" customFormat="false" ht="15" hidden="false" customHeight="true" outlineLevel="0" collapsed="false">
      <c r="A26" s="24" t="s">
        <v>135</v>
      </c>
      <c r="B26" s="24"/>
      <c r="C26" s="24"/>
      <c r="D26" s="25" t="n">
        <f aca="false">SUM(D6:D25)</f>
        <v>89</v>
      </c>
      <c r="E26" s="26"/>
    </row>
  </sheetData>
  <mergeCells count="5">
    <mergeCell ref="A1:E1"/>
    <mergeCell ref="A2:E2"/>
    <mergeCell ref="A3:E3"/>
    <mergeCell ref="A4:E4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18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199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200</v>
      </c>
      <c r="B3" s="15"/>
      <c r="C3" s="15"/>
      <c r="D3" s="15"/>
      <c r="E3" s="15"/>
    </row>
    <row r="4" customFormat="false" ht="19.5" hidden="false" customHeight="true" outlineLevel="0" collapsed="false">
      <c r="A4" s="3" t="s">
        <v>2</v>
      </c>
      <c r="B4" s="3" t="s">
        <v>98</v>
      </c>
      <c r="C4" s="3" t="s">
        <v>99</v>
      </c>
      <c r="D4" s="3" t="s">
        <v>100</v>
      </c>
      <c r="E4" s="3" t="s">
        <v>101</v>
      </c>
    </row>
    <row r="5" customFormat="false" ht="15.75" hidden="false" customHeight="true" outlineLevel="0" collapsed="false">
      <c r="A5" s="4" t="n">
        <v>1</v>
      </c>
      <c r="B5" s="16" t="s">
        <v>102</v>
      </c>
      <c r="C5" s="17" t="s">
        <v>103</v>
      </c>
      <c r="D5" s="18" t="n">
        <v>16</v>
      </c>
      <c r="E5" s="19" t="s">
        <v>201</v>
      </c>
    </row>
    <row r="6" customFormat="false" ht="15.75" hidden="false" customHeight="true" outlineLevel="0" collapsed="false">
      <c r="A6" s="8" t="n">
        <v>2</v>
      </c>
      <c r="B6" s="20" t="s">
        <v>105</v>
      </c>
      <c r="C6" s="21" t="s">
        <v>106</v>
      </c>
      <c r="D6" s="22" t="n">
        <v>13</v>
      </c>
      <c r="E6" s="23" t="s">
        <v>202</v>
      </c>
    </row>
    <row r="7" customFormat="false" ht="15.75" hidden="false" customHeight="true" outlineLevel="0" collapsed="false">
      <c r="A7" s="4" t="n">
        <v>3</v>
      </c>
      <c r="B7" s="16" t="s">
        <v>108</v>
      </c>
      <c r="C7" s="17" t="s">
        <v>109</v>
      </c>
      <c r="D7" s="18" t="n">
        <v>11</v>
      </c>
      <c r="E7" s="19" t="s">
        <v>203</v>
      </c>
    </row>
    <row r="8" customFormat="false" ht="15.75" hidden="false" customHeight="true" outlineLevel="0" collapsed="false">
      <c r="A8" s="8" t="n">
        <v>4</v>
      </c>
      <c r="B8" s="20" t="s">
        <v>111</v>
      </c>
      <c r="C8" s="21" t="s">
        <v>112</v>
      </c>
      <c r="D8" s="22" t="n">
        <v>9</v>
      </c>
      <c r="E8" s="23" t="s">
        <v>204</v>
      </c>
    </row>
    <row r="9" customFormat="false" ht="15.75" hidden="false" customHeight="true" outlineLevel="0" collapsed="false">
      <c r="A9" s="4" t="n">
        <v>5</v>
      </c>
      <c r="B9" s="16" t="s">
        <v>117</v>
      </c>
      <c r="C9" s="17" t="s">
        <v>118</v>
      </c>
      <c r="D9" s="18" t="n">
        <v>8</v>
      </c>
      <c r="E9" s="19" t="s">
        <v>205</v>
      </c>
    </row>
    <row r="10" customFormat="false" ht="15.75" hidden="false" customHeight="true" outlineLevel="0" collapsed="false">
      <c r="A10" s="8" t="n">
        <v>6</v>
      </c>
      <c r="B10" s="20" t="s">
        <v>114</v>
      </c>
      <c r="C10" s="21" t="s">
        <v>115</v>
      </c>
      <c r="D10" s="22" t="n">
        <v>6</v>
      </c>
      <c r="E10" s="23" t="s">
        <v>206</v>
      </c>
    </row>
    <row r="11" customFormat="false" ht="15.75" hidden="false" customHeight="true" outlineLevel="0" collapsed="false">
      <c r="A11" s="4" t="n">
        <v>7</v>
      </c>
      <c r="B11" s="16" t="s">
        <v>120</v>
      </c>
      <c r="C11" s="17" t="s">
        <v>121</v>
      </c>
      <c r="D11" s="18" t="n">
        <v>5</v>
      </c>
      <c r="E11" s="19" t="s">
        <v>207</v>
      </c>
    </row>
    <row r="12" customFormat="false" ht="15.75" hidden="false" customHeight="true" outlineLevel="0" collapsed="false">
      <c r="A12" s="8" t="n">
        <v>8</v>
      </c>
      <c r="B12" s="20" t="s">
        <v>123</v>
      </c>
      <c r="C12" s="21" t="s">
        <v>124</v>
      </c>
      <c r="D12" s="22" t="n">
        <v>5</v>
      </c>
      <c r="E12" s="23" t="s">
        <v>208</v>
      </c>
    </row>
    <row r="13" customFormat="false" ht="15.75" hidden="false" customHeight="true" outlineLevel="0" collapsed="false">
      <c r="A13" s="4" t="n">
        <v>9</v>
      </c>
      <c r="B13" s="16" t="s">
        <v>209</v>
      </c>
      <c r="C13" s="17" t="s">
        <v>210</v>
      </c>
      <c r="D13" s="18" t="n">
        <v>5</v>
      </c>
      <c r="E13" s="19" t="s">
        <v>211</v>
      </c>
    </row>
    <row r="14" customFormat="false" ht="15.75" hidden="false" customHeight="true" outlineLevel="0" collapsed="false">
      <c r="A14" s="8" t="n">
        <v>10</v>
      </c>
      <c r="B14" s="20" t="s">
        <v>212</v>
      </c>
      <c r="C14" s="21" t="s">
        <v>213</v>
      </c>
      <c r="D14" s="22" t="n">
        <v>4</v>
      </c>
      <c r="E14" s="23" t="s">
        <v>214</v>
      </c>
    </row>
    <row r="15" customFormat="false" ht="15.75" hidden="false" customHeight="true" outlineLevel="0" collapsed="false">
      <c r="A15" s="4" t="n">
        <v>11</v>
      </c>
      <c r="B15" s="16" t="s">
        <v>126</v>
      </c>
      <c r="C15" s="17" t="s">
        <v>127</v>
      </c>
      <c r="D15" s="18" t="n">
        <v>4</v>
      </c>
      <c r="E15" s="19" t="s">
        <v>215</v>
      </c>
    </row>
    <row r="16" customFormat="false" ht="15.75" hidden="false" customHeight="true" outlineLevel="0" collapsed="false">
      <c r="A16" s="8" t="n">
        <v>12</v>
      </c>
      <c r="B16" s="20" t="s">
        <v>216</v>
      </c>
      <c r="C16" s="21" t="s">
        <v>217</v>
      </c>
      <c r="D16" s="22" t="n">
        <v>4</v>
      </c>
      <c r="E16" s="23" t="s">
        <v>218</v>
      </c>
    </row>
    <row r="17" customFormat="false" ht="15.75" hidden="false" customHeight="true" outlineLevel="0" collapsed="false">
      <c r="A17" s="4" t="n">
        <v>13</v>
      </c>
      <c r="B17" s="16" t="s">
        <v>219</v>
      </c>
      <c r="C17" s="17" t="s">
        <v>220</v>
      </c>
      <c r="D17" s="18" t="n">
        <v>4</v>
      </c>
      <c r="E17" s="19" t="s">
        <v>221</v>
      </c>
    </row>
    <row r="18" customFormat="false" ht="15.75" hidden="false" customHeight="true" outlineLevel="0" collapsed="false">
      <c r="A18" s="8" t="n">
        <v>14</v>
      </c>
      <c r="B18" s="20" t="s">
        <v>222</v>
      </c>
      <c r="C18" s="21" t="s">
        <v>223</v>
      </c>
      <c r="D18" s="22" t="n">
        <v>3</v>
      </c>
      <c r="E18" s="23" t="s">
        <v>224</v>
      </c>
    </row>
    <row r="19" customFormat="false" ht="15.75" hidden="false" customHeight="true" outlineLevel="0" collapsed="false">
      <c r="A19" s="4" t="n">
        <v>15</v>
      </c>
      <c r="B19" s="16" t="s">
        <v>225</v>
      </c>
      <c r="C19" s="17" t="s">
        <v>226</v>
      </c>
      <c r="D19" s="18" t="n">
        <v>3</v>
      </c>
      <c r="E19" s="19" t="s">
        <v>227</v>
      </c>
    </row>
    <row r="20" customFormat="false" ht="15" hidden="false" customHeight="true" outlineLevel="0" collapsed="false">
      <c r="A20" s="24" t="s">
        <v>135</v>
      </c>
      <c r="B20" s="24"/>
      <c r="C20" s="24"/>
      <c r="D20" s="25" t="n">
        <f aca="false">SUM(D5:D19)</f>
        <v>100</v>
      </c>
      <c r="E20" s="26"/>
    </row>
  </sheetData>
  <mergeCells count="4">
    <mergeCell ref="A1:E1"/>
    <mergeCell ref="A2:E2"/>
    <mergeCell ref="A3:E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23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228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229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230</v>
      </c>
      <c r="C6" s="17" t="s">
        <v>231</v>
      </c>
      <c r="D6" s="18" t="n">
        <v>22</v>
      </c>
      <c r="E6" s="19" t="s">
        <v>232</v>
      </c>
    </row>
    <row r="7" customFormat="false" ht="15.75" hidden="false" customHeight="true" outlineLevel="0" collapsed="false">
      <c r="A7" s="8" t="n">
        <v>2</v>
      </c>
      <c r="B7" s="20" t="s">
        <v>123</v>
      </c>
      <c r="C7" s="21" t="s">
        <v>124</v>
      </c>
      <c r="D7" s="22" t="n">
        <v>18</v>
      </c>
      <c r="E7" s="23" t="s">
        <v>233</v>
      </c>
    </row>
    <row r="8" customFormat="false" ht="15.75" hidden="false" customHeight="true" outlineLevel="0" collapsed="false">
      <c r="A8" s="4" t="n">
        <v>3</v>
      </c>
      <c r="B8" s="16" t="s">
        <v>234</v>
      </c>
      <c r="C8" s="17" t="s">
        <v>235</v>
      </c>
      <c r="D8" s="18" t="n">
        <v>10</v>
      </c>
      <c r="E8" s="19" t="s">
        <v>236</v>
      </c>
    </row>
    <row r="9" customFormat="false" ht="15.75" hidden="false" customHeight="true" outlineLevel="0" collapsed="false">
      <c r="A9" s="8" t="n">
        <v>4</v>
      </c>
      <c r="B9" s="20" t="s">
        <v>237</v>
      </c>
      <c r="C9" s="21" t="s">
        <v>238</v>
      </c>
      <c r="D9" s="22" t="n">
        <v>8</v>
      </c>
      <c r="E9" s="23" t="s">
        <v>239</v>
      </c>
    </row>
    <row r="10" customFormat="false" ht="15.75" hidden="false" customHeight="true" outlineLevel="0" collapsed="false">
      <c r="A10" s="4" t="n">
        <v>5</v>
      </c>
      <c r="B10" s="16" t="s">
        <v>178</v>
      </c>
      <c r="C10" s="17" t="s">
        <v>179</v>
      </c>
      <c r="D10" s="18" t="n">
        <v>6</v>
      </c>
      <c r="E10" s="19" t="s">
        <v>240</v>
      </c>
    </row>
    <row r="11" customFormat="false" ht="15.75" hidden="false" customHeight="true" outlineLevel="0" collapsed="false">
      <c r="A11" s="8" t="n">
        <v>6</v>
      </c>
      <c r="B11" s="20" t="s">
        <v>241</v>
      </c>
      <c r="C11" s="21" t="s">
        <v>242</v>
      </c>
      <c r="D11" s="22" t="n">
        <v>5</v>
      </c>
      <c r="E11" s="23" t="s">
        <v>243</v>
      </c>
    </row>
    <row r="12" customFormat="false" ht="15.75" hidden="false" customHeight="true" outlineLevel="0" collapsed="false">
      <c r="A12" s="4" t="n">
        <v>7</v>
      </c>
      <c r="B12" s="16" t="s">
        <v>222</v>
      </c>
      <c r="C12" s="17" t="s">
        <v>223</v>
      </c>
      <c r="D12" s="18" t="n">
        <v>5</v>
      </c>
      <c r="E12" s="19" t="s">
        <v>244</v>
      </c>
    </row>
    <row r="13" customFormat="false" ht="15.75" hidden="false" customHeight="true" outlineLevel="0" collapsed="false">
      <c r="A13" s="8" t="n">
        <v>8</v>
      </c>
      <c r="B13" s="20" t="s">
        <v>108</v>
      </c>
      <c r="C13" s="21" t="s">
        <v>109</v>
      </c>
      <c r="D13" s="22" t="n">
        <v>5</v>
      </c>
      <c r="E13" s="23" t="s">
        <v>245</v>
      </c>
    </row>
    <row r="14" customFormat="false" ht="15.75" hidden="false" customHeight="true" outlineLevel="0" collapsed="false">
      <c r="A14" s="4" t="n">
        <v>9</v>
      </c>
      <c r="B14" s="16" t="s">
        <v>102</v>
      </c>
      <c r="C14" s="17" t="s">
        <v>103</v>
      </c>
      <c r="D14" s="18" t="n">
        <v>5</v>
      </c>
      <c r="E14" s="19" t="s">
        <v>246</v>
      </c>
    </row>
    <row r="15" customFormat="false" ht="15.75" hidden="false" customHeight="true" outlineLevel="0" collapsed="false">
      <c r="A15" s="8" t="n">
        <v>10</v>
      </c>
      <c r="B15" s="20" t="s">
        <v>247</v>
      </c>
      <c r="C15" s="21" t="s">
        <v>197</v>
      </c>
      <c r="D15" s="22" t="n">
        <v>11</v>
      </c>
      <c r="E15" s="23" t="s">
        <v>248</v>
      </c>
    </row>
    <row r="16" customFormat="false" ht="15.75" hidden="false" customHeight="true" outlineLevel="0" collapsed="false">
      <c r="A16" s="4" t="n">
        <v>11</v>
      </c>
      <c r="B16" s="16" t="s">
        <v>249</v>
      </c>
      <c r="C16" s="17" t="s">
        <v>197</v>
      </c>
      <c r="D16" s="18" t="n">
        <v>5</v>
      </c>
      <c r="E16" s="19" t="s">
        <v>250</v>
      </c>
    </row>
    <row r="17" customFormat="false" ht="15" hidden="false" customHeight="true" outlineLevel="0" collapsed="false">
      <c r="A17" s="24" t="s">
        <v>135</v>
      </c>
      <c r="B17" s="24"/>
      <c r="C17" s="24"/>
      <c r="D17" s="25" t="n">
        <f aca="false">SUM(D6:D16)</f>
        <v>100</v>
      </c>
      <c r="E17" s="26"/>
    </row>
  </sheetData>
  <mergeCells count="5">
    <mergeCell ref="A1:E1"/>
    <mergeCell ref="A2:E2"/>
    <mergeCell ref="A3:E3"/>
    <mergeCell ref="A4:E4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27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251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252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253</v>
      </c>
      <c r="C6" s="17" t="s">
        <v>254</v>
      </c>
      <c r="D6" s="18" t="n">
        <v>20</v>
      </c>
      <c r="E6" s="19" t="s">
        <v>255</v>
      </c>
    </row>
    <row r="7" customFormat="false" ht="15.75" hidden="false" customHeight="true" outlineLevel="0" collapsed="false">
      <c r="A7" s="8" t="n">
        <v>2</v>
      </c>
      <c r="B7" s="20" t="s">
        <v>256</v>
      </c>
      <c r="C7" s="21" t="s">
        <v>257</v>
      </c>
      <c r="D7" s="22" t="n">
        <v>15</v>
      </c>
      <c r="E7" s="23" t="s">
        <v>258</v>
      </c>
    </row>
    <row r="8" customFormat="false" ht="15.75" hidden="false" customHeight="true" outlineLevel="0" collapsed="false">
      <c r="A8" s="4" t="n">
        <v>3</v>
      </c>
      <c r="B8" s="16" t="s">
        <v>259</v>
      </c>
      <c r="C8" s="17" t="s">
        <v>231</v>
      </c>
      <c r="D8" s="18" t="n">
        <v>12</v>
      </c>
      <c r="E8" s="19" t="s">
        <v>260</v>
      </c>
    </row>
    <row r="9" customFormat="false" ht="15.75" hidden="false" customHeight="true" outlineLevel="0" collapsed="false">
      <c r="A9" s="8" t="n">
        <v>4</v>
      </c>
      <c r="B9" s="20" t="s">
        <v>261</v>
      </c>
      <c r="C9" s="21" t="s">
        <v>262</v>
      </c>
      <c r="D9" s="22" t="n">
        <v>10</v>
      </c>
      <c r="E9" s="23" t="s">
        <v>263</v>
      </c>
    </row>
    <row r="10" customFormat="false" ht="15.75" hidden="false" customHeight="true" outlineLevel="0" collapsed="false">
      <c r="A10" s="4" t="n">
        <v>5</v>
      </c>
      <c r="B10" s="16" t="s">
        <v>264</v>
      </c>
      <c r="C10" s="17" t="s">
        <v>265</v>
      </c>
      <c r="D10" s="18" t="n">
        <v>8</v>
      </c>
      <c r="E10" s="19" t="s">
        <v>266</v>
      </c>
    </row>
    <row r="11" customFormat="false" ht="15.75" hidden="false" customHeight="true" outlineLevel="0" collapsed="false">
      <c r="A11" s="8" t="n">
        <v>6</v>
      </c>
      <c r="B11" s="20" t="s">
        <v>178</v>
      </c>
      <c r="C11" s="21" t="s">
        <v>179</v>
      </c>
      <c r="D11" s="22" t="n">
        <v>6</v>
      </c>
      <c r="E11" s="23" t="s">
        <v>267</v>
      </c>
    </row>
    <row r="12" customFormat="false" ht="15.75" hidden="false" customHeight="true" outlineLevel="0" collapsed="false">
      <c r="A12" s="4" t="n">
        <v>7</v>
      </c>
      <c r="B12" s="16" t="s">
        <v>268</v>
      </c>
      <c r="C12" s="17" t="s">
        <v>269</v>
      </c>
      <c r="D12" s="18" t="n">
        <v>6</v>
      </c>
      <c r="E12" s="19" t="s">
        <v>270</v>
      </c>
    </row>
    <row r="13" customFormat="false" ht="15.75" hidden="false" customHeight="true" outlineLevel="0" collapsed="false">
      <c r="A13" s="8" t="n">
        <v>8</v>
      </c>
      <c r="B13" s="20" t="s">
        <v>108</v>
      </c>
      <c r="C13" s="21" t="s">
        <v>109</v>
      </c>
      <c r="D13" s="22" t="n">
        <v>5</v>
      </c>
      <c r="E13" s="23" t="s">
        <v>271</v>
      </c>
    </row>
    <row r="14" customFormat="false" ht="15.75" hidden="false" customHeight="true" outlineLevel="0" collapsed="false">
      <c r="A14" s="4" t="n">
        <v>9</v>
      </c>
      <c r="B14" s="16" t="s">
        <v>272</v>
      </c>
      <c r="C14" s="17" t="s">
        <v>197</v>
      </c>
      <c r="D14" s="18" t="n">
        <v>12</v>
      </c>
      <c r="E14" s="19" t="s">
        <v>273</v>
      </c>
    </row>
    <row r="15" customFormat="false" ht="15.75" hidden="false" customHeight="true" outlineLevel="0" collapsed="false">
      <c r="A15" s="8" t="n">
        <v>10</v>
      </c>
      <c r="B15" s="20" t="s">
        <v>274</v>
      </c>
      <c r="C15" s="21" t="s">
        <v>197</v>
      </c>
      <c r="D15" s="22" t="n">
        <v>6</v>
      </c>
      <c r="E15" s="23" t="s">
        <v>275</v>
      </c>
    </row>
    <row r="16" customFormat="false" ht="15" hidden="false" customHeight="true" outlineLevel="0" collapsed="false">
      <c r="A16" s="24" t="s">
        <v>135</v>
      </c>
      <c r="B16" s="24"/>
      <c r="C16" s="24"/>
      <c r="D16" s="25" t="n">
        <f aca="false">SUM(D6:D15)</f>
        <v>100</v>
      </c>
      <c r="E16" s="26"/>
    </row>
  </sheetData>
  <mergeCells count="5">
    <mergeCell ref="A1:E1"/>
    <mergeCell ref="A2:E2"/>
    <mergeCell ref="A3:E3"/>
    <mergeCell ref="A4:E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31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276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277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278</v>
      </c>
      <c r="C6" s="17" t="s">
        <v>279</v>
      </c>
      <c r="D6" s="18" t="n">
        <v>9</v>
      </c>
      <c r="E6" s="19" t="s">
        <v>280</v>
      </c>
    </row>
    <row r="7" customFormat="false" ht="15.75" hidden="false" customHeight="true" outlineLevel="0" collapsed="false">
      <c r="A7" s="8" t="n">
        <v>2</v>
      </c>
      <c r="B7" s="20" t="s">
        <v>105</v>
      </c>
      <c r="C7" s="21" t="s">
        <v>106</v>
      </c>
      <c r="D7" s="22" t="n">
        <v>9</v>
      </c>
      <c r="E7" s="23" t="s">
        <v>281</v>
      </c>
    </row>
    <row r="8" customFormat="false" ht="15.75" hidden="false" customHeight="true" outlineLevel="0" collapsed="false">
      <c r="A8" s="4" t="n">
        <v>3</v>
      </c>
      <c r="B8" s="16" t="s">
        <v>108</v>
      </c>
      <c r="C8" s="17" t="s">
        <v>109</v>
      </c>
      <c r="D8" s="18" t="n">
        <v>8</v>
      </c>
      <c r="E8" s="19" t="s">
        <v>282</v>
      </c>
    </row>
    <row r="9" customFormat="false" ht="15.75" hidden="false" customHeight="true" outlineLevel="0" collapsed="false">
      <c r="A9" s="8" t="n">
        <v>4</v>
      </c>
      <c r="B9" s="20" t="s">
        <v>102</v>
      </c>
      <c r="C9" s="21" t="s">
        <v>103</v>
      </c>
      <c r="D9" s="22" t="n">
        <v>8</v>
      </c>
      <c r="E9" s="23" t="s">
        <v>283</v>
      </c>
    </row>
    <row r="10" customFormat="false" ht="15.75" hidden="false" customHeight="true" outlineLevel="0" collapsed="false">
      <c r="A10" s="4" t="n">
        <v>5</v>
      </c>
      <c r="B10" s="16" t="s">
        <v>284</v>
      </c>
      <c r="C10" s="17" t="s">
        <v>285</v>
      </c>
      <c r="D10" s="18" t="n">
        <v>7</v>
      </c>
      <c r="E10" s="19" t="s">
        <v>286</v>
      </c>
    </row>
    <row r="11" customFormat="false" ht="15.75" hidden="false" customHeight="true" outlineLevel="0" collapsed="false">
      <c r="A11" s="8" t="n">
        <v>6</v>
      </c>
      <c r="B11" s="20" t="s">
        <v>287</v>
      </c>
      <c r="C11" s="21" t="s">
        <v>197</v>
      </c>
      <c r="D11" s="22" t="n">
        <v>6</v>
      </c>
      <c r="E11" s="23" t="s">
        <v>288</v>
      </c>
    </row>
    <row r="12" customFormat="false" ht="15.75" hidden="false" customHeight="true" outlineLevel="0" collapsed="false">
      <c r="A12" s="4" t="n">
        <v>7</v>
      </c>
      <c r="B12" s="16" t="s">
        <v>222</v>
      </c>
      <c r="C12" s="17" t="s">
        <v>223</v>
      </c>
      <c r="D12" s="18" t="n">
        <v>6</v>
      </c>
      <c r="E12" s="19" t="s">
        <v>289</v>
      </c>
    </row>
    <row r="13" customFormat="false" ht="15.75" hidden="false" customHeight="true" outlineLevel="0" collapsed="false">
      <c r="A13" s="8" t="n">
        <v>8</v>
      </c>
      <c r="B13" s="20" t="s">
        <v>290</v>
      </c>
      <c r="C13" s="21" t="s">
        <v>291</v>
      </c>
      <c r="D13" s="22" t="n">
        <v>5</v>
      </c>
      <c r="E13" s="23" t="s">
        <v>292</v>
      </c>
    </row>
    <row r="14" customFormat="false" ht="15.75" hidden="false" customHeight="true" outlineLevel="0" collapsed="false">
      <c r="A14" s="4" t="n">
        <v>9</v>
      </c>
      <c r="B14" s="16" t="s">
        <v>293</v>
      </c>
      <c r="C14" s="17" t="s">
        <v>149</v>
      </c>
      <c r="D14" s="18" t="n">
        <v>5</v>
      </c>
      <c r="E14" s="19" t="s">
        <v>294</v>
      </c>
    </row>
    <row r="15" customFormat="false" ht="15.75" hidden="false" customHeight="true" outlineLevel="0" collapsed="false">
      <c r="A15" s="8" t="n">
        <v>10</v>
      </c>
      <c r="B15" s="20" t="s">
        <v>166</v>
      </c>
      <c r="C15" s="21" t="s">
        <v>167</v>
      </c>
      <c r="D15" s="22" t="n">
        <v>5</v>
      </c>
      <c r="E15" s="23" t="s">
        <v>295</v>
      </c>
    </row>
    <row r="16" customFormat="false" ht="15.75" hidden="false" customHeight="true" outlineLevel="0" collapsed="false">
      <c r="A16" s="4" t="n">
        <v>11</v>
      </c>
      <c r="B16" s="16" t="s">
        <v>154</v>
      </c>
      <c r="C16" s="17" t="s">
        <v>155</v>
      </c>
      <c r="D16" s="18" t="n">
        <v>4</v>
      </c>
      <c r="E16" s="19" t="s">
        <v>296</v>
      </c>
    </row>
    <row r="17" customFormat="false" ht="15.75" hidden="false" customHeight="true" outlineLevel="0" collapsed="false">
      <c r="A17" s="8" t="n">
        <v>12</v>
      </c>
      <c r="B17" s="20" t="s">
        <v>297</v>
      </c>
      <c r="C17" s="21" t="s">
        <v>197</v>
      </c>
      <c r="D17" s="22" t="n">
        <v>28</v>
      </c>
      <c r="E17" s="23" t="s">
        <v>298</v>
      </c>
    </row>
    <row r="18" customFormat="false" ht="15" hidden="false" customHeight="true" outlineLevel="0" collapsed="false">
      <c r="A18" s="24" t="s">
        <v>135</v>
      </c>
      <c r="B18" s="24"/>
      <c r="C18" s="24"/>
      <c r="D18" s="25" t="n">
        <f aca="false">SUM(D6:D17)</f>
        <v>100</v>
      </c>
      <c r="E18" s="26"/>
    </row>
  </sheetData>
  <mergeCells count="5">
    <mergeCell ref="A1:E1"/>
    <mergeCell ref="A2:E2"/>
    <mergeCell ref="A3:E3"/>
    <mergeCell ref="A4:E4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299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300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301</v>
      </c>
      <c r="B3" s="15"/>
      <c r="C3" s="15"/>
      <c r="D3" s="15"/>
      <c r="E3" s="15"/>
    </row>
    <row r="4" customFormat="false" ht="19.5" hidden="false" customHeight="true" outlineLevel="0" collapsed="false">
      <c r="A4" s="3" t="s">
        <v>2</v>
      </c>
      <c r="B4" s="3" t="s">
        <v>98</v>
      </c>
      <c r="C4" s="3" t="s">
        <v>99</v>
      </c>
      <c r="D4" s="3" t="s">
        <v>100</v>
      </c>
      <c r="E4" s="3" t="s">
        <v>101</v>
      </c>
    </row>
    <row r="5" customFormat="false" ht="15.75" hidden="false" customHeight="true" outlineLevel="0" collapsed="false">
      <c r="A5" s="4" t="n">
        <v>1</v>
      </c>
      <c r="B5" s="16" t="s">
        <v>102</v>
      </c>
      <c r="C5" s="17" t="s">
        <v>103</v>
      </c>
      <c r="D5" s="18" t="n">
        <v>18</v>
      </c>
      <c r="E5" s="19" t="s">
        <v>302</v>
      </c>
    </row>
    <row r="6" customFormat="false" ht="15.75" hidden="false" customHeight="true" outlineLevel="0" collapsed="false">
      <c r="A6" s="8" t="n">
        <v>2</v>
      </c>
      <c r="B6" s="20" t="s">
        <v>117</v>
      </c>
      <c r="C6" s="21" t="s">
        <v>118</v>
      </c>
      <c r="D6" s="22" t="n">
        <v>12</v>
      </c>
      <c r="E6" s="23" t="s">
        <v>303</v>
      </c>
    </row>
    <row r="7" customFormat="false" ht="15.75" hidden="false" customHeight="true" outlineLevel="0" collapsed="false">
      <c r="A7" s="4" t="n">
        <v>3</v>
      </c>
      <c r="B7" s="16" t="s">
        <v>105</v>
      </c>
      <c r="C7" s="17" t="s">
        <v>106</v>
      </c>
      <c r="D7" s="18" t="n">
        <v>11</v>
      </c>
      <c r="E7" s="19" t="s">
        <v>304</v>
      </c>
    </row>
    <row r="8" customFormat="false" ht="15.75" hidden="false" customHeight="true" outlineLevel="0" collapsed="false">
      <c r="A8" s="8" t="n">
        <v>4</v>
      </c>
      <c r="B8" s="20" t="s">
        <v>108</v>
      </c>
      <c r="C8" s="21" t="s">
        <v>109</v>
      </c>
      <c r="D8" s="22" t="n">
        <v>10</v>
      </c>
      <c r="E8" s="23" t="s">
        <v>305</v>
      </c>
    </row>
    <row r="9" customFormat="false" ht="15.75" hidden="false" customHeight="true" outlineLevel="0" collapsed="false">
      <c r="A9" s="4" t="n">
        <v>5</v>
      </c>
      <c r="B9" s="16" t="s">
        <v>120</v>
      </c>
      <c r="C9" s="17" t="s">
        <v>121</v>
      </c>
      <c r="D9" s="18" t="n">
        <v>7</v>
      </c>
      <c r="E9" s="19" t="s">
        <v>306</v>
      </c>
    </row>
    <row r="10" customFormat="false" ht="15.75" hidden="false" customHeight="true" outlineLevel="0" collapsed="false">
      <c r="A10" s="8" t="n">
        <v>6</v>
      </c>
      <c r="B10" s="20" t="s">
        <v>209</v>
      </c>
      <c r="C10" s="21" t="s">
        <v>210</v>
      </c>
      <c r="D10" s="22" t="n">
        <v>7</v>
      </c>
      <c r="E10" s="23" t="s">
        <v>307</v>
      </c>
    </row>
    <row r="11" customFormat="false" ht="15.75" hidden="false" customHeight="true" outlineLevel="0" collapsed="false">
      <c r="A11" s="4" t="n">
        <v>7</v>
      </c>
      <c r="B11" s="16" t="s">
        <v>219</v>
      </c>
      <c r="C11" s="17" t="s">
        <v>220</v>
      </c>
      <c r="D11" s="18" t="n">
        <v>6</v>
      </c>
      <c r="E11" s="19" t="s">
        <v>308</v>
      </c>
    </row>
    <row r="12" customFormat="false" ht="15.75" hidden="false" customHeight="true" outlineLevel="0" collapsed="false">
      <c r="A12" s="8" t="n">
        <v>8</v>
      </c>
      <c r="B12" s="20" t="s">
        <v>216</v>
      </c>
      <c r="C12" s="21" t="s">
        <v>217</v>
      </c>
      <c r="D12" s="22" t="n">
        <v>5</v>
      </c>
      <c r="E12" s="23" t="s">
        <v>309</v>
      </c>
    </row>
    <row r="13" customFormat="false" ht="15.75" hidden="false" customHeight="true" outlineLevel="0" collapsed="false">
      <c r="A13" s="4" t="n">
        <v>9</v>
      </c>
      <c r="B13" s="16" t="s">
        <v>222</v>
      </c>
      <c r="C13" s="17" t="s">
        <v>223</v>
      </c>
      <c r="D13" s="18" t="n">
        <v>5</v>
      </c>
      <c r="E13" s="19" t="s">
        <v>310</v>
      </c>
    </row>
    <row r="14" customFormat="false" ht="15.75" hidden="false" customHeight="true" outlineLevel="0" collapsed="false">
      <c r="A14" s="8" t="n">
        <v>10</v>
      </c>
      <c r="B14" s="20" t="s">
        <v>132</v>
      </c>
      <c r="C14" s="21" t="s">
        <v>133</v>
      </c>
      <c r="D14" s="22" t="n">
        <v>5</v>
      </c>
      <c r="E14" s="23" t="s">
        <v>311</v>
      </c>
    </row>
    <row r="15" customFormat="false" ht="15.75" hidden="false" customHeight="true" outlineLevel="0" collapsed="false">
      <c r="A15" s="4" t="n">
        <v>11</v>
      </c>
      <c r="B15" s="16" t="s">
        <v>126</v>
      </c>
      <c r="C15" s="17" t="s">
        <v>127</v>
      </c>
      <c r="D15" s="18" t="n">
        <v>4</v>
      </c>
      <c r="E15" s="19" t="s">
        <v>312</v>
      </c>
    </row>
    <row r="16" customFormat="false" ht="15.75" hidden="false" customHeight="true" outlineLevel="0" collapsed="false">
      <c r="A16" s="8" t="n">
        <v>12</v>
      </c>
      <c r="B16" s="20" t="s">
        <v>313</v>
      </c>
      <c r="C16" s="21" t="s">
        <v>314</v>
      </c>
      <c r="D16" s="22" t="n">
        <v>4</v>
      </c>
      <c r="E16" s="23" t="s">
        <v>315</v>
      </c>
    </row>
    <row r="17" customFormat="false" ht="15.75" hidden="false" customHeight="true" outlineLevel="0" collapsed="false">
      <c r="A17" s="4" t="n">
        <v>13</v>
      </c>
      <c r="B17" s="16" t="s">
        <v>129</v>
      </c>
      <c r="C17" s="17" t="s">
        <v>130</v>
      </c>
      <c r="D17" s="18" t="n">
        <v>3</v>
      </c>
      <c r="E17" s="19" t="s">
        <v>316</v>
      </c>
    </row>
    <row r="18" customFormat="false" ht="15.75" hidden="false" customHeight="true" outlineLevel="0" collapsed="false">
      <c r="A18" s="8" t="n">
        <v>14</v>
      </c>
      <c r="B18" s="20" t="s">
        <v>317</v>
      </c>
      <c r="C18" s="21" t="s">
        <v>197</v>
      </c>
      <c r="D18" s="22" t="n">
        <v>3</v>
      </c>
      <c r="E18" s="23" t="s">
        <v>318</v>
      </c>
    </row>
    <row r="19" customFormat="false" ht="15" hidden="false" customHeight="true" outlineLevel="0" collapsed="false">
      <c r="A19" s="24" t="s">
        <v>135</v>
      </c>
      <c r="B19" s="24"/>
      <c r="C19" s="24"/>
      <c r="D19" s="25" t="n">
        <f aca="false">SUM(D5:D18)</f>
        <v>100</v>
      </c>
      <c r="E19" s="26"/>
    </row>
  </sheetData>
  <mergeCells count="4">
    <mergeCell ref="A1:E1"/>
    <mergeCell ref="A2:E2"/>
    <mergeCell ref="A3:E3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319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320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321</v>
      </c>
      <c r="B3" s="15"/>
      <c r="C3" s="15"/>
      <c r="D3" s="15"/>
      <c r="E3" s="15"/>
    </row>
    <row r="4" customFormat="false" ht="19.5" hidden="false" customHeight="true" outlineLevel="0" collapsed="false">
      <c r="A4" s="3" t="s">
        <v>2</v>
      </c>
      <c r="B4" s="3" t="s">
        <v>98</v>
      </c>
      <c r="C4" s="3" t="s">
        <v>99</v>
      </c>
      <c r="D4" s="3" t="s">
        <v>100</v>
      </c>
      <c r="E4" s="3" t="s">
        <v>101</v>
      </c>
    </row>
    <row r="5" customFormat="false" ht="15.75" hidden="false" customHeight="true" outlineLevel="0" collapsed="false">
      <c r="A5" s="4" t="n">
        <v>1</v>
      </c>
      <c r="B5" s="16" t="s">
        <v>322</v>
      </c>
      <c r="C5" s="17" t="s">
        <v>323</v>
      </c>
      <c r="D5" s="18" t="n">
        <v>25</v>
      </c>
      <c r="E5" s="19" t="s">
        <v>324</v>
      </c>
    </row>
    <row r="6" customFormat="false" ht="15.75" hidden="false" customHeight="true" outlineLevel="0" collapsed="false">
      <c r="A6" s="8" t="n">
        <v>2</v>
      </c>
      <c r="B6" s="20" t="s">
        <v>325</v>
      </c>
      <c r="C6" s="21" t="s">
        <v>326</v>
      </c>
      <c r="D6" s="22" t="n">
        <v>20</v>
      </c>
      <c r="E6" s="23" t="s">
        <v>327</v>
      </c>
    </row>
    <row r="7" customFormat="false" ht="15.75" hidden="false" customHeight="true" outlineLevel="0" collapsed="false">
      <c r="A7" s="4" t="n">
        <v>3</v>
      </c>
      <c r="B7" s="16" t="s">
        <v>108</v>
      </c>
      <c r="C7" s="17" t="s">
        <v>109</v>
      </c>
      <c r="D7" s="18" t="n">
        <v>10</v>
      </c>
      <c r="E7" s="19" t="s">
        <v>328</v>
      </c>
    </row>
    <row r="8" customFormat="false" ht="15.75" hidden="false" customHeight="true" outlineLevel="0" collapsed="false">
      <c r="A8" s="8" t="n">
        <v>4</v>
      </c>
      <c r="B8" s="20" t="s">
        <v>123</v>
      </c>
      <c r="C8" s="21" t="s">
        <v>124</v>
      </c>
      <c r="D8" s="22" t="n">
        <v>8</v>
      </c>
      <c r="E8" s="23" t="s">
        <v>329</v>
      </c>
    </row>
    <row r="9" customFormat="false" ht="15.75" hidden="false" customHeight="true" outlineLevel="0" collapsed="false">
      <c r="A9" s="4" t="n">
        <v>5</v>
      </c>
      <c r="B9" s="16" t="s">
        <v>126</v>
      </c>
      <c r="C9" s="17" t="s">
        <v>127</v>
      </c>
      <c r="D9" s="18" t="n">
        <v>7</v>
      </c>
      <c r="E9" s="19" t="s">
        <v>330</v>
      </c>
    </row>
    <row r="10" customFormat="false" ht="15.75" hidden="false" customHeight="true" outlineLevel="0" collapsed="false">
      <c r="A10" s="8" t="n">
        <v>6</v>
      </c>
      <c r="B10" s="20" t="s">
        <v>102</v>
      </c>
      <c r="C10" s="21" t="s">
        <v>103</v>
      </c>
      <c r="D10" s="22" t="n">
        <v>7</v>
      </c>
      <c r="E10" s="23" t="s">
        <v>331</v>
      </c>
    </row>
    <row r="11" customFormat="false" ht="15.75" hidden="false" customHeight="true" outlineLevel="0" collapsed="false">
      <c r="A11" s="4" t="n">
        <v>7</v>
      </c>
      <c r="B11" s="16" t="s">
        <v>332</v>
      </c>
      <c r="C11" s="17" t="s">
        <v>333</v>
      </c>
      <c r="D11" s="18" t="n">
        <v>7</v>
      </c>
      <c r="E11" s="19" t="s">
        <v>334</v>
      </c>
    </row>
    <row r="12" customFormat="false" ht="15.75" hidden="false" customHeight="true" outlineLevel="0" collapsed="false">
      <c r="A12" s="8" t="n">
        <v>8</v>
      </c>
      <c r="B12" s="20" t="s">
        <v>335</v>
      </c>
      <c r="C12" s="21" t="s">
        <v>336</v>
      </c>
      <c r="D12" s="22" t="n">
        <v>5</v>
      </c>
      <c r="E12" s="23" t="s">
        <v>337</v>
      </c>
    </row>
    <row r="13" customFormat="false" ht="15.75" hidden="false" customHeight="true" outlineLevel="0" collapsed="false">
      <c r="A13" s="4" t="n">
        <v>9</v>
      </c>
      <c r="B13" s="16" t="s">
        <v>212</v>
      </c>
      <c r="C13" s="17" t="s">
        <v>213</v>
      </c>
      <c r="D13" s="18" t="n">
        <v>4</v>
      </c>
      <c r="E13" s="19" t="s">
        <v>338</v>
      </c>
    </row>
    <row r="14" customFormat="false" ht="15.75" hidden="false" customHeight="true" outlineLevel="0" collapsed="false">
      <c r="A14" s="8" t="n">
        <v>10</v>
      </c>
      <c r="B14" s="20" t="s">
        <v>339</v>
      </c>
      <c r="C14" s="21" t="s">
        <v>340</v>
      </c>
      <c r="D14" s="22" t="n">
        <v>3</v>
      </c>
      <c r="E14" s="23" t="s">
        <v>341</v>
      </c>
    </row>
    <row r="15" customFormat="false" ht="15.75" hidden="false" customHeight="true" outlineLevel="0" collapsed="false">
      <c r="A15" s="4" t="n">
        <v>11</v>
      </c>
      <c r="B15" s="16" t="s">
        <v>342</v>
      </c>
      <c r="C15" s="17" t="s">
        <v>197</v>
      </c>
      <c r="D15" s="18" t="n">
        <v>4</v>
      </c>
      <c r="E15" s="19" t="s">
        <v>343</v>
      </c>
    </row>
    <row r="16" customFormat="false" ht="15" hidden="false" customHeight="true" outlineLevel="0" collapsed="false">
      <c r="A16" s="24" t="s">
        <v>135</v>
      </c>
      <c r="B16" s="24"/>
      <c r="C16" s="24"/>
      <c r="D16" s="25" t="n">
        <f aca="false">SUM(D5:D15)</f>
        <v>100</v>
      </c>
      <c r="E16" s="26"/>
    </row>
  </sheetData>
  <mergeCells count="4">
    <mergeCell ref="A1:E1"/>
    <mergeCell ref="A2:E2"/>
    <mergeCell ref="A3:E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344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345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346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105</v>
      </c>
      <c r="C6" s="17" t="s">
        <v>106</v>
      </c>
      <c r="D6" s="18" t="n">
        <v>30</v>
      </c>
      <c r="E6" s="19" t="s">
        <v>347</v>
      </c>
    </row>
    <row r="7" customFormat="false" ht="15.75" hidden="false" customHeight="true" outlineLevel="0" collapsed="false">
      <c r="A7" s="8" t="n">
        <v>2</v>
      </c>
      <c r="B7" s="20" t="s">
        <v>222</v>
      </c>
      <c r="C7" s="21" t="s">
        <v>223</v>
      </c>
      <c r="D7" s="22" t="n">
        <v>15</v>
      </c>
      <c r="E7" s="23" t="s">
        <v>348</v>
      </c>
    </row>
    <row r="8" customFormat="false" ht="15.75" hidden="false" customHeight="true" outlineLevel="0" collapsed="false">
      <c r="A8" s="4" t="n">
        <v>3</v>
      </c>
      <c r="B8" s="16" t="s">
        <v>268</v>
      </c>
      <c r="C8" s="17" t="s">
        <v>269</v>
      </c>
      <c r="D8" s="18" t="n">
        <v>10</v>
      </c>
      <c r="E8" s="19" t="s">
        <v>349</v>
      </c>
    </row>
    <row r="9" customFormat="false" ht="15.75" hidden="false" customHeight="true" outlineLevel="0" collapsed="false">
      <c r="A9" s="8" t="n">
        <v>4</v>
      </c>
      <c r="B9" s="20" t="s">
        <v>350</v>
      </c>
      <c r="C9" s="21" t="s">
        <v>351</v>
      </c>
      <c r="D9" s="22" t="n">
        <v>8</v>
      </c>
      <c r="E9" s="23" t="s">
        <v>352</v>
      </c>
    </row>
    <row r="10" customFormat="false" ht="15.75" hidden="false" customHeight="true" outlineLevel="0" collapsed="false">
      <c r="A10" s="4" t="n">
        <v>5</v>
      </c>
      <c r="B10" s="16" t="s">
        <v>353</v>
      </c>
      <c r="C10" s="17" t="s">
        <v>354</v>
      </c>
      <c r="D10" s="18" t="n">
        <v>6</v>
      </c>
      <c r="E10" s="19" t="s">
        <v>355</v>
      </c>
    </row>
    <row r="11" customFormat="false" ht="15.75" hidden="false" customHeight="true" outlineLevel="0" collapsed="false">
      <c r="A11" s="8" t="n">
        <v>6</v>
      </c>
      <c r="B11" s="20" t="s">
        <v>356</v>
      </c>
      <c r="C11" s="21" t="s">
        <v>357</v>
      </c>
      <c r="D11" s="22" t="n">
        <v>6</v>
      </c>
      <c r="E11" s="23" t="s">
        <v>358</v>
      </c>
    </row>
    <row r="12" customFormat="false" ht="15.75" hidden="false" customHeight="true" outlineLevel="0" collapsed="false">
      <c r="A12" s="4" t="n">
        <v>7</v>
      </c>
      <c r="B12" s="16" t="s">
        <v>102</v>
      </c>
      <c r="C12" s="17" t="s">
        <v>103</v>
      </c>
      <c r="D12" s="18" t="n">
        <v>8</v>
      </c>
      <c r="E12" s="19" t="s">
        <v>359</v>
      </c>
    </row>
    <row r="13" customFormat="false" ht="15.75" hidden="false" customHeight="true" outlineLevel="0" collapsed="false">
      <c r="A13" s="8" t="n">
        <v>8</v>
      </c>
      <c r="B13" s="20" t="s">
        <v>360</v>
      </c>
      <c r="C13" s="21" t="s">
        <v>197</v>
      </c>
      <c r="D13" s="22" t="n">
        <v>17</v>
      </c>
      <c r="E13" s="23" t="s">
        <v>361</v>
      </c>
    </row>
    <row r="14" customFormat="false" ht="15" hidden="false" customHeight="true" outlineLevel="0" collapsed="false">
      <c r="A14" s="24" t="s">
        <v>135</v>
      </c>
      <c r="B14" s="24"/>
      <c r="C14" s="24"/>
      <c r="D14" s="25" t="n">
        <f aca="false">SUM(D6:D13)</f>
        <v>100</v>
      </c>
      <c r="E14" s="26"/>
    </row>
  </sheetData>
  <mergeCells count="5">
    <mergeCell ref="A1:E1"/>
    <mergeCell ref="A2:E2"/>
    <mergeCell ref="A3:E3"/>
    <mergeCell ref="A4:E4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47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362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363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364</v>
      </c>
      <c r="C6" s="17" t="s">
        <v>365</v>
      </c>
      <c r="D6" s="18" t="n">
        <v>20</v>
      </c>
      <c r="E6" s="19" t="s">
        <v>366</v>
      </c>
    </row>
    <row r="7" customFormat="false" ht="15.75" hidden="false" customHeight="true" outlineLevel="0" collapsed="false">
      <c r="A7" s="8" t="n">
        <v>2</v>
      </c>
      <c r="B7" s="20" t="s">
        <v>367</v>
      </c>
      <c r="C7" s="21" t="s">
        <v>365</v>
      </c>
      <c r="D7" s="22" t="n">
        <v>10</v>
      </c>
      <c r="E7" s="23" t="s">
        <v>368</v>
      </c>
    </row>
    <row r="8" customFormat="false" ht="15.75" hidden="false" customHeight="true" outlineLevel="0" collapsed="false">
      <c r="A8" s="4" t="n">
        <v>3</v>
      </c>
      <c r="B8" s="16" t="s">
        <v>369</v>
      </c>
      <c r="C8" s="17" t="s">
        <v>370</v>
      </c>
      <c r="D8" s="18" t="n">
        <v>8</v>
      </c>
      <c r="E8" s="19" t="s">
        <v>371</v>
      </c>
    </row>
    <row r="9" customFormat="false" ht="15.75" hidden="false" customHeight="true" outlineLevel="0" collapsed="false">
      <c r="A9" s="8" t="n">
        <v>4</v>
      </c>
      <c r="B9" s="20" t="s">
        <v>372</v>
      </c>
      <c r="C9" s="21" t="s">
        <v>197</v>
      </c>
      <c r="D9" s="22" t="n">
        <v>8</v>
      </c>
      <c r="E9" s="23" t="s">
        <v>373</v>
      </c>
    </row>
    <row r="10" customFormat="false" ht="15.75" hidden="false" customHeight="true" outlineLevel="0" collapsed="false">
      <c r="A10" s="4" t="n">
        <v>5</v>
      </c>
      <c r="B10" s="16" t="s">
        <v>374</v>
      </c>
      <c r="C10" s="17" t="s">
        <v>375</v>
      </c>
      <c r="D10" s="18" t="n">
        <v>7</v>
      </c>
      <c r="E10" s="19" t="s">
        <v>376</v>
      </c>
    </row>
    <row r="11" customFormat="false" ht="15.75" hidden="false" customHeight="true" outlineLevel="0" collapsed="false">
      <c r="A11" s="8" t="n">
        <v>6</v>
      </c>
      <c r="B11" s="20" t="s">
        <v>148</v>
      </c>
      <c r="C11" s="21" t="s">
        <v>149</v>
      </c>
      <c r="D11" s="22" t="n">
        <v>7</v>
      </c>
      <c r="E11" s="23" t="s">
        <v>377</v>
      </c>
    </row>
    <row r="12" customFormat="false" ht="15.75" hidden="false" customHeight="true" outlineLevel="0" collapsed="false">
      <c r="A12" s="4" t="n">
        <v>7</v>
      </c>
      <c r="B12" s="16" t="s">
        <v>378</v>
      </c>
      <c r="C12" s="17" t="s">
        <v>379</v>
      </c>
      <c r="D12" s="18" t="n">
        <v>5</v>
      </c>
      <c r="E12" s="19" t="s">
        <v>380</v>
      </c>
    </row>
    <row r="13" customFormat="false" ht="15.75" hidden="false" customHeight="true" outlineLevel="0" collapsed="false">
      <c r="A13" s="8" t="n">
        <v>8</v>
      </c>
      <c r="B13" s="20" t="s">
        <v>142</v>
      </c>
      <c r="C13" s="21" t="s">
        <v>143</v>
      </c>
      <c r="D13" s="22" t="n">
        <v>5</v>
      </c>
      <c r="E13" s="23" t="s">
        <v>381</v>
      </c>
    </row>
    <row r="14" customFormat="false" ht="15.75" hidden="false" customHeight="true" outlineLevel="0" collapsed="false">
      <c r="A14" s="4" t="n">
        <v>9</v>
      </c>
      <c r="B14" s="16" t="s">
        <v>290</v>
      </c>
      <c r="C14" s="17" t="s">
        <v>291</v>
      </c>
      <c r="D14" s="18" t="n">
        <v>5</v>
      </c>
      <c r="E14" s="19" t="s">
        <v>382</v>
      </c>
    </row>
    <row r="15" customFormat="false" ht="15.75" hidden="false" customHeight="true" outlineLevel="0" collapsed="false">
      <c r="A15" s="8" t="n">
        <v>10</v>
      </c>
      <c r="B15" s="20" t="s">
        <v>383</v>
      </c>
      <c r="C15" s="21" t="s">
        <v>197</v>
      </c>
      <c r="D15" s="22" t="n">
        <v>15</v>
      </c>
      <c r="E15" s="23" t="s">
        <v>384</v>
      </c>
    </row>
    <row r="16" customFormat="false" ht="15.75" hidden="false" customHeight="true" outlineLevel="0" collapsed="false">
      <c r="A16" s="4" t="n">
        <v>11</v>
      </c>
      <c r="B16" s="16" t="s">
        <v>385</v>
      </c>
      <c r="C16" s="17" t="s">
        <v>197</v>
      </c>
      <c r="D16" s="18" t="n">
        <v>10</v>
      </c>
      <c r="E16" s="19" t="s">
        <v>386</v>
      </c>
    </row>
    <row r="17" customFormat="false" ht="15" hidden="false" customHeight="true" outlineLevel="0" collapsed="false">
      <c r="A17" s="24" t="s">
        <v>135</v>
      </c>
      <c r="B17" s="24"/>
      <c r="C17" s="24"/>
      <c r="D17" s="25" t="n">
        <f aca="false">SUM(D6:D16)</f>
        <v>100</v>
      </c>
      <c r="E17" s="26"/>
    </row>
  </sheetData>
  <mergeCells count="5">
    <mergeCell ref="A1:E1"/>
    <mergeCell ref="A2:E2"/>
    <mergeCell ref="A3:E3"/>
    <mergeCell ref="A4:E4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51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387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388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278</v>
      </c>
      <c r="C6" s="17" t="s">
        <v>279</v>
      </c>
      <c r="D6" s="18" t="n">
        <v>12</v>
      </c>
      <c r="E6" s="19" t="s">
        <v>389</v>
      </c>
    </row>
    <row r="7" customFormat="false" ht="15.75" hidden="false" customHeight="true" outlineLevel="0" collapsed="false">
      <c r="A7" s="8" t="n">
        <v>2</v>
      </c>
      <c r="B7" s="20" t="s">
        <v>390</v>
      </c>
      <c r="C7" s="21" t="s">
        <v>391</v>
      </c>
      <c r="D7" s="22" t="n">
        <v>10</v>
      </c>
      <c r="E7" s="23" t="s">
        <v>392</v>
      </c>
    </row>
    <row r="8" customFormat="false" ht="15.75" hidden="false" customHeight="true" outlineLevel="0" collapsed="false">
      <c r="A8" s="4" t="n">
        <v>3</v>
      </c>
      <c r="B8" s="16" t="s">
        <v>393</v>
      </c>
      <c r="C8" s="17" t="s">
        <v>394</v>
      </c>
      <c r="D8" s="18" t="n">
        <v>9</v>
      </c>
      <c r="E8" s="19" t="s">
        <v>395</v>
      </c>
    </row>
    <row r="9" customFormat="false" ht="15.75" hidden="false" customHeight="true" outlineLevel="0" collapsed="false">
      <c r="A9" s="8" t="n">
        <v>4</v>
      </c>
      <c r="B9" s="20" t="s">
        <v>396</v>
      </c>
      <c r="C9" s="21" t="s">
        <v>397</v>
      </c>
      <c r="D9" s="22" t="n">
        <v>6</v>
      </c>
      <c r="E9" s="23" t="s">
        <v>398</v>
      </c>
    </row>
    <row r="10" customFormat="false" ht="15.75" hidden="false" customHeight="true" outlineLevel="0" collapsed="false">
      <c r="A10" s="4" t="n">
        <v>5</v>
      </c>
      <c r="B10" s="16" t="s">
        <v>399</v>
      </c>
      <c r="C10" s="17" t="s">
        <v>400</v>
      </c>
      <c r="D10" s="18" t="n">
        <v>6</v>
      </c>
      <c r="E10" s="19" t="s">
        <v>401</v>
      </c>
    </row>
    <row r="11" customFormat="false" ht="15.75" hidden="false" customHeight="true" outlineLevel="0" collapsed="false">
      <c r="A11" s="8" t="n">
        <v>6</v>
      </c>
      <c r="B11" s="20" t="s">
        <v>402</v>
      </c>
      <c r="C11" s="21" t="s">
        <v>403</v>
      </c>
      <c r="D11" s="22" t="n">
        <v>5</v>
      </c>
      <c r="E11" s="23" t="s">
        <v>404</v>
      </c>
    </row>
    <row r="12" customFormat="false" ht="15.75" hidden="false" customHeight="true" outlineLevel="0" collapsed="false">
      <c r="A12" s="4" t="n">
        <v>7</v>
      </c>
      <c r="B12" s="16" t="s">
        <v>405</v>
      </c>
      <c r="C12" s="17" t="s">
        <v>406</v>
      </c>
      <c r="D12" s="18" t="n">
        <v>5</v>
      </c>
      <c r="E12" s="19" t="s">
        <v>407</v>
      </c>
    </row>
    <row r="13" customFormat="false" ht="15.75" hidden="false" customHeight="true" outlineLevel="0" collapsed="false">
      <c r="A13" s="8" t="n">
        <v>8</v>
      </c>
      <c r="B13" s="20" t="s">
        <v>408</v>
      </c>
      <c r="C13" s="21" t="s">
        <v>409</v>
      </c>
      <c r="D13" s="22" t="n">
        <v>5</v>
      </c>
      <c r="E13" s="23" t="s">
        <v>410</v>
      </c>
    </row>
    <row r="14" customFormat="false" ht="15.75" hidden="false" customHeight="true" outlineLevel="0" collapsed="false">
      <c r="A14" s="4" t="n">
        <v>9</v>
      </c>
      <c r="B14" s="16" t="s">
        <v>411</v>
      </c>
      <c r="C14" s="17" t="s">
        <v>412</v>
      </c>
      <c r="D14" s="18" t="n">
        <v>4</v>
      </c>
      <c r="E14" s="19" t="s">
        <v>413</v>
      </c>
    </row>
    <row r="15" customFormat="false" ht="15.75" hidden="false" customHeight="true" outlineLevel="0" collapsed="false">
      <c r="A15" s="8" t="n">
        <v>10</v>
      </c>
      <c r="B15" s="20" t="s">
        <v>290</v>
      </c>
      <c r="C15" s="21" t="s">
        <v>291</v>
      </c>
      <c r="D15" s="22" t="n">
        <v>4</v>
      </c>
      <c r="E15" s="23" t="s">
        <v>414</v>
      </c>
    </row>
    <row r="16" customFormat="false" ht="15.75" hidden="false" customHeight="true" outlineLevel="0" collapsed="false">
      <c r="A16" s="4" t="n">
        <v>11</v>
      </c>
      <c r="B16" s="16" t="s">
        <v>293</v>
      </c>
      <c r="C16" s="17" t="s">
        <v>149</v>
      </c>
      <c r="D16" s="18" t="n">
        <v>4</v>
      </c>
      <c r="E16" s="19" t="s">
        <v>415</v>
      </c>
    </row>
    <row r="17" customFormat="false" ht="15.75" hidden="false" customHeight="true" outlineLevel="0" collapsed="false">
      <c r="A17" s="8" t="n">
        <v>12</v>
      </c>
      <c r="B17" s="20" t="s">
        <v>416</v>
      </c>
      <c r="C17" s="21" t="s">
        <v>417</v>
      </c>
      <c r="D17" s="22" t="n">
        <v>4</v>
      </c>
      <c r="E17" s="23" t="s">
        <v>418</v>
      </c>
    </row>
    <row r="18" customFormat="false" ht="15.75" hidden="false" customHeight="true" outlineLevel="0" collapsed="false">
      <c r="A18" s="4" t="n">
        <v>13</v>
      </c>
      <c r="B18" s="16" t="s">
        <v>419</v>
      </c>
      <c r="C18" s="17" t="s">
        <v>197</v>
      </c>
      <c r="D18" s="18" t="n">
        <v>26</v>
      </c>
      <c r="E18" s="19" t="s">
        <v>420</v>
      </c>
    </row>
    <row r="19" customFormat="false" ht="15" hidden="false" customHeight="true" outlineLevel="0" collapsed="false">
      <c r="A19" s="24" t="s">
        <v>135</v>
      </c>
      <c r="B19" s="24"/>
      <c r="C19" s="24"/>
      <c r="D19" s="25" t="n">
        <f aca="false">SUM(D6:D18)</f>
        <v>100</v>
      </c>
      <c r="E19" s="26"/>
    </row>
  </sheetData>
  <mergeCells count="5">
    <mergeCell ref="A1:E1"/>
    <mergeCell ref="A2:E2"/>
    <mergeCell ref="A3:E3"/>
    <mergeCell ref="A4:E4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56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421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422</v>
      </c>
      <c r="B3" s="15"/>
      <c r="C3" s="15"/>
      <c r="D3" s="15"/>
      <c r="E3" s="15"/>
    </row>
    <row r="4" customFormat="false" ht="19.5" hidden="false" customHeight="true" outlineLevel="0" collapsed="false">
      <c r="A4" s="3" t="s">
        <v>2</v>
      </c>
      <c r="B4" s="3" t="s">
        <v>98</v>
      </c>
      <c r="C4" s="3" t="s">
        <v>99</v>
      </c>
      <c r="D4" s="3" t="s">
        <v>100</v>
      </c>
      <c r="E4" s="3" t="s">
        <v>101</v>
      </c>
    </row>
    <row r="5" customFormat="false" ht="15.75" hidden="false" customHeight="true" outlineLevel="0" collapsed="false">
      <c r="A5" s="4" t="n">
        <v>1</v>
      </c>
      <c r="B5" s="16" t="s">
        <v>423</v>
      </c>
      <c r="C5" s="17" t="s">
        <v>424</v>
      </c>
      <c r="D5" s="18" t="n">
        <v>30</v>
      </c>
      <c r="E5" s="19" t="s">
        <v>425</v>
      </c>
    </row>
    <row r="6" customFormat="false" ht="15.75" hidden="false" customHeight="true" outlineLevel="0" collapsed="false">
      <c r="A6" s="8" t="n">
        <v>2</v>
      </c>
      <c r="B6" s="20" t="s">
        <v>426</v>
      </c>
      <c r="C6" s="21" t="s">
        <v>197</v>
      </c>
      <c r="D6" s="22" t="n">
        <v>12</v>
      </c>
      <c r="E6" s="23" t="s">
        <v>427</v>
      </c>
    </row>
    <row r="7" customFormat="false" ht="15.75" hidden="false" customHeight="true" outlineLevel="0" collapsed="false">
      <c r="A7" s="4" t="n">
        <v>3</v>
      </c>
      <c r="B7" s="16" t="s">
        <v>428</v>
      </c>
      <c r="C7" s="17" t="s">
        <v>197</v>
      </c>
      <c r="D7" s="18" t="n">
        <v>8</v>
      </c>
      <c r="E7" s="19" t="s">
        <v>429</v>
      </c>
    </row>
    <row r="8" customFormat="false" ht="15.75" hidden="false" customHeight="true" outlineLevel="0" collapsed="false">
      <c r="A8" s="8" t="n">
        <v>4</v>
      </c>
      <c r="B8" s="20" t="s">
        <v>430</v>
      </c>
      <c r="C8" s="21" t="s">
        <v>197</v>
      </c>
      <c r="D8" s="22" t="n">
        <v>7</v>
      </c>
      <c r="E8" s="23" t="s">
        <v>431</v>
      </c>
    </row>
    <row r="9" customFormat="false" ht="15.75" hidden="false" customHeight="true" outlineLevel="0" collapsed="false">
      <c r="A9" s="4" t="n">
        <v>5</v>
      </c>
      <c r="B9" s="16" t="s">
        <v>432</v>
      </c>
      <c r="C9" s="17" t="s">
        <v>197</v>
      </c>
      <c r="D9" s="18" t="n">
        <v>6</v>
      </c>
      <c r="E9" s="19" t="s">
        <v>433</v>
      </c>
    </row>
    <row r="10" customFormat="false" ht="15.75" hidden="false" customHeight="true" outlineLevel="0" collapsed="false">
      <c r="A10" s="8" t="n">
        <v>6</v>
      </c>
      <c r="B10" s="20" t="s">
        <v>434</v>
      </c>
      <c r="C10" s="21" t="s">
        <v>197</v>
      </c>
      <c r="D10" s="22" t="n">
        <v>5</v>
      </c>
      <c r="E10" s="23" t="s">
        <v>435</v>
      </c>
    </row>
    <row r="11" customFormat="false" ht="15.75" hidden="false" customHeight="true" outlineLevel="0" collapsed="false">
      <c r="A11" s="4" t="n">
        <v>7</v>
      </c>
      <c r="B11" s="16" t="s">
        <v>436</v>
      </c>
      <c r="C11" s="17" t="s">
        <v>197</v>
      </c>
      <c r="D11" s="18" t="n">
        <v>4</v>
      </c>
      <c r="E11" s="19" t="s">
        <v>437</v>
      </c>
    </row>
    <row r="12" customFormat="false" ht="15.75" hidden="false" customHeight="true" outlineLevel="0" collapsed="false">
      <c r="A12" s="8" t="n">
        <v>8</v>
      </c>
      <c r="B12" s="20" t="s">
        <v>438</v>
      </c>
      <c r="C12" s="21" t="s">
        <v>197</v>
      </c>
      <c r="D12" s="22" t="n">
        <v>4</v>
      </c>
      <c r="E12" s="23" t="s">
        <v>439</v>
      </c>
    </row>
    <row r="13" customFormat="false" ht="15.75" hidden="false" customHeight="true" outlineLevel="0" collapsed="false">
      <c r="A13" s="4" t="n">
        <v>9</v>
      </c>
      <c r="B13" s="16" t="s">
        <v>440</v>
      </c>
      <c r="C13" s="17" t="s">
        <v>197</v>
      </c>
      <c r="D13" s="18" t="n">
        <v>4</v>
      </c>
      <c r="E13" s="19" t="s">
        <v>441</v>
      </c>
    </row>
    <row r="14" customFormat="false" ht="15.75" hidden="false" customHeight="true" outlineLevel="0" collapsed="false">
      <c r="A14" s="8" t="n">
        <v>10</v>
      </c>
      <c r="B14" s="20" t="s">
        <v>442</v>
      </c>
      <c r="C14" s="21" t="s">
        <v>197</v>
      </c>
      <c r="D14" s="22" t="n">
        <v>20</v>
      </c>
      <c r="E14" s="23" t="s">
        <v>443</v>
      </c>
    </row>
    <row r="15" customFormat="false" ht="15" hidden="false" customHeight="true" outlineLevel="0" collapsed="false">
      <c r="A15" s="24" t="s">
        <v>135</v>
      </c>
      <c r="B15" s="24"/>
      <c r="C15" s="24"/>
      <c r="D15" s="25" t="n">
        <f aca="false">SUM(D5:D14)</f>
        <v>100</v>
      </c>
      <c r="E15" s="26"/>
    </row>
  </sheetData>
  <mergeCells count="4">
    <mergeCell ref="A1:E1"/>
    <mergeCell ref="A2:E2"/>
    <mergeCell ref="A3:E3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60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444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445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446</v>
      </c>
      <c r="C6" s="17" t="s">
        <v>447</v>
      </c>
      <c r="D6" s="18" t="n">
        <v>28</v>
      </c>
      <c r="E6" s="19" t="s">
        <v>448</v>
      </c>
    </row>
    <row r="7" customFormat="false" ht="15.75" hidden="false" customHeight="true" outlineLevel="0" collapsed="false">
      <c r="A7" s="8" t="n">
        <v>2</v>
      </c>
      <c r="B7" s="20" t="s">
        <v>449</v>
      </c>
      <c r="C7" s="21" t="s">
        <v>450</v>
      </c>
      <c r="D7" s="22" t="n">
        <v>20</v>
      </c>
      <c r="E7" s="23" t="s">
        <v>451</v>
      </c>
    </row>
    <row r="8" customFormat="false" ht="15.75" hidden="false" customHeight="true" outlineLevel="0" collapsed="false">
      <c r="A8" s="4" t="n">
        <v>3</v>
      </c>
      <c r="B8" s="16" t="s">
        <v>452</v>
      </c>
      <c r="C8" s="17" t="s">
        <v>453</v>
      </c>
      <c r="D8" s="18" t="n">
        <v>10</v>
      </c>
      <c r="E8" s="19" t="s">
        <v>454</v>
      </c>
    </row>
    <row r="9" customFormat="false" ht="15.75" hidden="false" customHeight="true" outlineLevel="0" collapsed="false">
      <c r="A9" s="8" t="n">
        <v>4</v>
      </c>
      <c r="B9" s="20" t="s">
        <v>455</v>
      </c>
      <c r="C9" s="21" t="s">
        <v>456</v>
      </c>
      <c r="D9" s="22" t="n">
        <v>9</v>
      </c>
      <c r="E9" s="23" t="s">
        <v>457</v>
      </c>
    </row>
    <row r="10" customFormat="false" ht="15.75" hidden="false" customHeight="true" outlineLevel="0" collapsed="false">
      <c r="A10" s="4" t="n">
        <v>5</v>
      </c>
      <c r="B10" s="16" t="s">
        <v>458</v>
      </c>
      <c r="C10" s="17" t="s">
        <v>459</v>
      </c>
      <c r="D10" s="18" t="n">
        <v>7</v>
      </c>
      <c r="E10" s="19" t="s">
        <v>460</v>
      </c>
    </row>
    <row r="11" customFormat="false" ht="15.75" hidden="false" customHeight="true" outlineLevel="0" collapsed="false">
      <c r="A11" s="8" t="n">
        <v>6</v>
      </c>
      <c r="B11" s="20" t="s">
        <v>461</v>
      </c>
      <c r="C11" s="21" t="s">
        <v>462</v>
      </c>
      <c r="D11" s="22" t="n">
        <v>5</v>
      </c>
      <c r="E11" s="23" t="s">
        <v>463</v>
      </c>
    </row>
    <row r="12" customFormat="false" ht="15.75" hidden="false" customHeight="true" outlineLevel="0" collapsed="false">
      <c r="A12" s="4" t="n">
        <v>7</v>
      </c>
      <c r="B12" s="16" t="s">
        <v>464</v>
      </c>
      <c r="C12" s="17" t="s">
        <v>465</v>
      </c>
      <c r="D12" s="18" t="n">
        <v>5</v>
      </c>
      <c r="E12" s="19" t="s">
        <v>466</v>
      </c>
    </row>
    <row r="13" customFormat="false" ht="15.75" hidden="false" customHeight="true" outlineLevel="0" collapsed="false">
      <c r="A13" s="8" t="n">
        <v>8</v>
      </c>
      <c r="B13" s="20" t="s">
        <v>467</v>
      </c>
      <c r="C13" s="21" t="s">
        <v>468</v>
      </c>
      <c r="D13" s="22" t="n">
        <v>4</v>
      </c>
      <c r="E13" s="23" t="s">
        <v>469</v>
      </c>
    </row>
    <row r="14" customFormat="false" ht="15.75" hidden="false" customHeight="true" outlineLevel="0" collapsed="false">
      <c r="A14" s="4" t="n">
        <v>9</v>
      </c>
      <c r="B14" s="16" t="s">
        <v>268</v>
      </c>
      <c r="C14" s="17" t="s">
        <v>269</v>
      </c>
      <c r="D14" s="18" t="n">
        <v>4</v>
      </c>
      <c r="E14" s="19" t="s">
        <v>470</v>
      </c>
    </row>
    <row r="15" customFormat="false" ht="15.75" hidden="false" customHeight="true" outlineLevel="0" collapsed="false">
      <c r="A15" s="8" t="n">
        <v>10</v>
      </c>
      <c r="B15" s="20" t="s">
        <v>471</v>
      </c>
      <c r="C15" s="21" t="s">
        <v>197</v>
      </c>
      <c r="D15" s="22" t="n">
        <v>8</v>
      </c>
      <c r="E15" s="23" t="s">
        <v>472</v>
      </c>
    </row>
    <row r="16" customFormat="false" ht="15" hidden="false" customHeight="true" outlineLevel="0" collapsed="false">
      <c r="A16" s="24" t="s">
        <v>135</v>
      </c>
      <c r="B16" s="24"/>
      <c r="C16" s="24"/>
      <c r="D16" s="25" t="n">
        <f aca="false">SUM(D6:D15)</f>
        <v>100</v>
      </c>
      <c r="E16" s="26"/>
    </row>
  </sheetData>
  <mergeCells count="5">
    <mergeCell ref="A1:E1"/>
    <mergeCell ref="A2:E2"/>
    <mergeCell ref="A3:E3"/>
    <mergeCell ref="A4:E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64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473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474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475</v>
      </c>
      <c r="C6" s="17" t="s">
        <v>197</v>
      </c>
      <c r="D6" s="18" t="n">
        <v>40</v>
      </c>
      <c r="E6" s="19" t="s">
        <v>476</v>
      </c>
    </row>
    <row r="7" customFormat="false" ht="15.75" hidden="false" customHeight="true" outlineLevel="0" collapsed="false">
      <c r="A7" s="8" t="n">
        <v>2</v>
      </c>
      <c r="B7" s="20" t="s">
        <v>477</v>
      </c>
      <c r="C7" s="21" t="s">
        <v>478</v>
      </c>
      <c r="D7" s="22" t="n">
        <v>20</v>
      </c>
      <c r="E7" s="23" t="s">
        <v>479</v>
      </c>
    </row>
    <row r="8" customFormat="false" ht="15.75" hidden="false" customHeight="true" outlineLevel="0" collapsed="false">
      <c r="A8" s="4" t="n">
        <v>3</v>
      </c>
      <c r="B8" s="16" t="s">
        <v>480</v>
      </c>
      <c r="C8" s="17" t="s">
        <v>481</v>
      </c>
      <c r="D8" s="18" t="n">
        <v>8</v>
      </c>
      <c r="E8" s="19" t="s">
        <v>482</v>
      </c>
    </row>
    <row r="9" customFormat="false" ht="15.75" hidden="false" customHeight="true" outlineLevel="0" collapsed="false">
      <c r="A9" s="8" t="n">
        <v>4</v>
      </c>
      <c r="B9" s="20" t="s">
        <v>483</v>
      </c>
      <c r="C9" s="21" t="s">
        <v>484</v>
      </c>
      <c r="D9" s="22" t="n">
        <v>6</v>
      </c>
      <c r="E9" s="23" t="s">
        <v>485</v>
      </c>
    </row>
    <row r="10" customFormat="false" ht="15.75" hidden="false" customHeight="true" outlineLevel="0" collapsed="false">
      <c r="A10" s="4" t="n">
        <v>5</v>
      </c>
      <c r="B10" s="16" t="s">
        <v>486</v>
      </c>
      <c r="C10" s="17" t="s">
        <v>197</v>
      </c>
      <c r="D10" s="18" t="n">
        <v>5</v>
      </c>
      <c r="E10" s="19" t="s">
        <v>487</v>
      </c>
    </row>
    <row r="11" customFormat="false" ht="15.75" hidden="false" customHeight="true" outlineLevel="0" collapsed="false">
      <c r="A11" s="8" t="n">
        <v>6</v>
      </c>
      <c r="B11" s="20" t="s">
        <v>488</v>
      </c>
      <c r="C11" s="21" t="s">
        <v>197</v>
      </c>
      <c r="D11" s="22" t="n">
        <v>10</v>
      </c>
      <c r="E11" s="23" t="s">
        <v>489</v>
      </c>
    </row>
    <row r="12" customFormat="false" ht="15.75" hidden="false" customHeight="true" outlineLevel="0" collapsed="false">
      <c r="A12" s="4" t="n">
        <v>7</v>
      </c>
      <c r="B12" s="16" t="s">
        <v>490</v>
      </c>
      <c r="C12" s="17" t="s">
        <v>197</v>
      </c>
      <c r="D12" s="18" t="n">
        <v>11</v>
      </c>
      <c r="E12" s="19" t="s">
        <v>491</v>
      </c>
    </row>
    <row r="13" customFormat="false" ht="15" hidden="false" customHeight="true" outlineLevel="0" collapsed="false">
      <c r="A13" s="24" t="s">
        <v>135</v>
      </c>
      <c r="B13" s="24"/>
      <c r="C13" s="24"/>
      <c r="D13" s="25" t="n">
        <f aca="false">SUM(D6:D12)</f>
        <v>100</v>
      </c>
      <c r="E13" s="26"/>
    </row>
  </sheetData>
  <mergeCells count="5">
    <mergeCell ref="A1:E1"/>
    <mergeCell ref="A2:E2"/>
    <mergeCell ref="A3:E3"/>
    <mergeCell ref="A4:E4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492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493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494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488</v>
      </c>
      <c r="C6" s="17" t="s">
        <v>197</v>
      </c>
      <c r="D6" s="18" t="n">
        <v>30</v>
      </c>
      <c r="E6" s="19" t="s">
        <v>495</v>
      </c>
    </row>
    <row r="7" customFormat="false" ht="15.75" hidden="false" customHeight="true" outlineLevel="0" collapsed="false">
      <c r="A7" s="8" t="n">
        <v>2</v>
      </c>
      <c r="B7" s="20" t="s">
        <v>496</v>
      </c>
      <c r="C7" s="21" t="s">
        <v>197</v>
      </c>
      <c r="D7" s="22" t="n">
        <v>15</v>
      </c>
      <c r="E7" s="23" t="s">
        <v>497</v>
      </c>
    </row>
    <row r="8" customFormat="false" ht="15.75" hidden="false" customHeight="true" outlineLevel="0" collapsed="false">
      <c r="A8" s="4" t="n">
        <v>3</v>
      </c>
      <c r="B8" s="16" t="s">
        <v>105</v>
      </c>
      <c r="C8" s="17" t="s">
        <v>106</v>
      </c>
      <c r="D8" s="18" t="n">
        <v>12</v>
      </c>
      <c r="E8" s="19" t="s">
        <v>498</v>
      </c>
    </row>
    <row r="9" customFormat="false" ht="15.75" hidden="false" customHeight="true" outlineLevel="0" collapsed="false">
      <c r="A9" s="8" t="n">
        <v>4</v>
      </c>
      <c r="B9" s="20" t="s">
        <v>108</v>
      </c>
      <c r="C9" s="21" t="s">
        <v>109</v>
      </c>
      <c r="D9" s="22" t="n">
        <v>10</v>
      </c>
      <c r="E9" s="23" t="s">
        <v>499</v>
      </c>
    </row>
    <row r="10" customFormat="false" ht="15.75" hidden="false" customHeight="true" outlineLevel="0" collapsed="false">
      <c r="A10" s="4" t="n">
        <v>5</v>
      </c>
      <c r="B10" s="16" t="s">
        <v>102</v>
      </c>
      <c r="C10" s="17" t="s">
        <v>103</v>
      </c>
      <c r="D10" s="18" t="n">
        <v>10</v>
      </c>
      <c r="E10" s="19" t="s">
        <v>500</v>
      </c>
    </row>
    <row r="11" customFormat="false" ht="15.75" hidden="false" customHeight="true" outlineLevel="0" collapsed="false">
      <c r="A11" s="8" t="n">
        <v>6</v>
      </c>
      <c r="B11" s="20" t="s">
        <v>117</v>
      </c>
      <c r="C11" s="21" t="s">
        <v>118</v>
      </c>
      <c r="D11" s="22" t="n">
        <v>8</v>
      </c>
      <c r="E11" s="23" t="s">
        <v>501</v>
      </c>
    </row>
    <row r="12" customFormat="false" ht="15.75" hidden="false" customHeight="true" outlineLevel="0" collapsed="false">
      <c r="A12" s="4" t="n">
        <v>7</v>
      </c>
      <c r="B12" s="16" t="s">
        <v>502</v>
      </c>
      <c r="C12" s="17" t="s">
        <v>503</v>
      </c>
      <c r="D12" s="18" t="n">
        <v>8</v>
      </c>
      <c r="E12" s="19" t="s">
        <v>504</v>
      </c>
    </row>
    <row r="13" customFormat="false" ht="15.75" hidden="false" customHeight="true" outlineLevel="0" collapsed="false">
      <c r="A13" s="8" t="n">
        <v>8</v>
      </c>
      <c r="B13" s="20" t="s">
        <v>505</v>
      </c>
      <c r="C13" s="21" t="s">
        <v>365</v>
      </c>
      <c r="D13" s="22" t="n">
        <v>7</v>
      </c>
      <c r="E13" s="23" t="s">
        <v>506</v>
      </c>
    </row>
    <row r="14" customFormat="false" ht="15" hidden="false" customHeight="true" outlineLevel="0" collapsed="false">
      <c r="A14" s="24" t="s">
        <v>135</v>
      </c>
      <c r="B14" s="24"/>
      <c r="C14" s="24"/>
      <c r="D14" s="25" t="n">
        <f aca="false">SUM(D6:D13)</f>
        <v>100</v>
      </c>
      <c r="E14" s="26"/>
    </row>
  </sheetData>
  <mergeCells count="5">
    <mergeCell ref="A1:E1"/>
    <mergeCell ref="A2:E2"/>
    <mergeCell ref="A3:E3"/>
    <mergeCell ref="A4:E4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72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507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508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117</v>
      </c>
      <c r="C6" s="17" t="s">
        <v>118</v>
      </c>
      <c r="D6" s="18" t="n">
        <v>70</v>
      </c>
      <c r="E6" s="19" t="s">
        <v>509</v>
      </c>
    </row>
    <row r="7" customFormat="false" ht="15.75" hidden="false" customHeight="true" outlineLevel="0" collapsed="false">
      <c r="A7" s="8" t="n">
        <v>2</v>
      </c>
      <c r="B7" s="20" t="s">
        <v>510</v>
      </c>
      <c r="C7" s="21" t="s">
        <v>197</v>
      </c>
      <c r="D7" s="22" t="n">
        <v>10</v>
      </c>
      <c r="E7" s="23" t="s">
        <v>511</v>
      </c>
    </row>
    <row r="8" customFormat="false" ht="15.75" hidden="false" customHeight="true" outlineLevel="0" collapsed="false">
      <c r="A8" s="4" t="n">
        <v>3</v>
      </c>
      <c r="B8" s="16" t="s">
        <v>512</v>
      </c>
      <c r="C8" s="17" t="s">
        <v>197</v>
      </c>
      <c r="D8" s="18" t="n">
        <v>5</v>
      </c>
      <c r="E8" s="19" t="s">
        <v>513</v>
      </c>
    </row>
    <row r="9" customFormat="false" ht="15.75" hidden="false" customHeight="true" outlineLevel="0" collapsed="false">
      <c r="A9" s="8" t="n">
        <v>4</v>
      </c>
      <c r="B9" s="20" t="s">
        <v>514</v>
      </c>
      <c r="C9" s="21" t="s">
        <v>197</v>
      </c>
      <c r="D9" s="22" t="n">
        <v>5</v>
      </c>
      <c r="E9" s="23" t="s">
        <v>515</v>
      </c>
    </row>
    <row r="10" customFormat="false" ht="15.75" hidden="false" customHeight="true" outlineLevel="0" collapsed="false">
      <c r="A10" s="4" t="n">
        <v>5</v>
      </c>
      <c r="B10" s="16" t="s">
        <v>516</v>
      </c>
      <c r="C10" s="17" t="s">
        <v>197</v>
      </c>
      <c r="D10" s="18" t="n">
        <v>5</v>
      </c>
      <c r="E10" s="19" t="s">
        <v>517</v>
      </c>
    </row>
    <row r="11" customFormat="false" ht="15.75" hidden="false" customHeight="true" outlineLevel="0" collapsed="false">
      <c r="A11" s="8" t="n">
        <v>6</v>
      </c>
      <c r="B11" s="20" t="s">
        <v>518</v>
      </c>
      <c r="C11" s="21" t="s">
        <v>365</v>
      </c>
      <c r="D11" s="22" t="n">
        <v>5</v>
      </c>
      <c r="E11" s="23" t="s">
        <v>519</v>
      </c>
    </row>
    <row r="12" customFormat="false" ht="15" hidden="false" customHeight="true" outlineLevel="0" collapsed="false">
      <c r="A12" s="24" t="s">
        <v>135</v>
      </c>
      <c r="B12" s="24"/>
      <c r="C12" s="24"/>
      <c r="D12" s="25" t="n">
        <f aca="false">SUM(D6:D11)</f>
        <v>100</v>
      </c>
      <c r="E12" s="26"/>
    </row>
  </sheetData>
  <mergeCells count="5">
    <mergeCell ref="A1:E1"/>
    <mergeCell ref="A2:E2"/>
    <mergeCell ref="A3:E3"/>
    <mergeCell ref="A4:E4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520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521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522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356</v>
      </c>
      <c r="C6" s="17" t="s">
        <v>357</v>
      </c>
      <c r="D6" s="18" t="n">
        <v>35</v>
      </c>
      <c r="E6" s="19" t="s">
        <v>523</v>
      </c>
    </row>
    <row r="7" customFormat="false" ht="15.75" hidden="false" customHeight="true" outlineLevel="0" collapsed="false">
      <c r="A7" s="8" t="n">
        <v>2</v>
      </c>
      <c r="B7" s="20" t="s">
        <v>524</v>
      </c>
      <c r="C7" s="21" t="s">
        <v>525</v>
      </c>
      <c r="D7" s="22" t="n">
        <v>10</v>
      </c>
      <c r="E7" s="23" t="s">
        <v>526</v>
      </c>
    </row>
    <row r="8" customFormat="false" ht="15.75" hidden="false" customHeight="true" outlineLevel="0" collapsed="false">
      <c r="A8" s="4" t="n">
        <v>3</v>
      </c>
      <c r="B8" s="16" t="s">
        <v>102</v>
      </c>
      <c r="C8" s="17" t="s">
        <v>103</v>
      </c>
      <c r="D8" s="18" t="n">
        <v>10</v>
      </c>
      <c r="E8" s="19" t="s">
        <v>527</v>
      </c>
    </row>
    <row r="9" customFormat="false" ht="15.75" hidden="false" customHeight="true" outlineLevel="0" collapsed="false">
      <c r="A9" s="8" t="n">
        <v>4</v>
      </c>
      <c r="B9" s="20" t="s">
        <v>222</v>
      </c>
      <c r="C9" s="21" t="s">
        <v>223</v>
      </c>
      <c r="D9" s="22" t="n">
        <v>9</v>
      </c>
      <c r="E9" s="23" t="s">
        <v>528</v>
      </c>
    </row>
    <row r="10" customFormat="false" ht="15.75" hidden="false" customHeight="true" outlineLevel="0" collapsed="false">
      <c r="A10" s="4" t="n">
        <v>5</v>
      </c>
      <c r="B10" s="16" t="s">
        <v>268</v>
      </c>
      <c r="C10" s="17" t="s">
        <v>269</v>
      </c>
      <c r="D10" s="18" t="n">
        <v>8</v>
      </c>
      <c r="E10" s="19" t="s">
        <v>529</v>
      </c>
    </row>
    <row r="11" customFormat="false" ht="15.75" hidden="false" customHeight="true" outlineLevel="0" collapsed="false">
      <c r="A11" s="8" t="n">
        <v>6</v>
      </c>
      <c r="B11" s="20" t="s">
        <v>530</v>
      </c>
      <c r="C11" s="21" t="s">
        <v>531</v>
      </c>
      <c r="D11" s="22" t="n">
        <v>7</v>
      </c>
      <c r="E11" s="23" t="s">
        <v>532</v>
      </c>
    </row>
    <row r="12" customFormat="false" ht="15.75" hidden="false" customHeight="true" outlineLevel="0" collapsed="false">
      <c r="A12" s="4" t="n">
        <v>7</v>
      </c>
      <c r="B12" s="16" t="s">
        <v>105</v>
      </c>
      <c r="C12" s="17" t="s">
        <v>106</v>
      </c>
      <c r="D12" s="18" t="n">
        <v>7</v>
      </c>
      <c r="E12" s="19" t="s">
        <v>533</v>
      </c>
    </row>
    <row r="13" customFormat="false" ht="15.75" hidden="false" customHeight="true" outlineLevel="0" collapsed="false">
      <c r="A13" s="8" t="n">
        <v>8</v>
      </c>
      <c r="B13" s="20" t="s">
        <v>108</v>
      </c>
      <c r="C13" s="21" t="s">
        <v>109</v>
      </c>
      <c r="D13" s="22" t="n">
        <v>7</v>
      </c>
      <c r="E13" s="23" t="s">
        <v>534</v>
      </c>
    </row>
    <row r="14" customFormat="false" ht="15.75" hidden="false" customHeight="true" outlineLevel="0" collapsed="false">
      <c r="A14" s="4" t="n">
        <v>9</v>
      </c>
      <c r="B14" s="16" t="s">
        <v>535</v>
      </c>
      <c r="C14" s="17" t="s">
        <v>197</v>
      </c>
      <c r="D14" s="18" t="n">
        <v>7</v>
      </c>
      <c r="E14" s="19" t="s">
        <v>536</v>
      </c>
    </row>
    <row r="15" customFormat="false" ht="15" hidden="false" customHeight="true" outlineLevel="0" collapsed="false">
      <c r="A15" s="24" t="s">
        <v>135</v>
      </c>
      <c r="B15" s="24"/>
      <c r="C15" s="24"/>
      <c r="D15" s="25" t="n">
        <f aca="false">SUM(D6:D14)</f>
        <v>100</v>
      </c>
      <c r="E15" s="26"/>
    </row>
  </sheetData>
  <mergeCells count="5">
    <mergeCell ref="A1:E1"/>
    <mergeCell ref="A2:E2"/>
    <mergeCell ref="A3:E3"/>
    <mergeCell ref="A4:E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537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538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539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126</v>
      </c>
      <c r="C6" s="17" t="s">
        <v>127</v>
      </c>
      <c r="D6" s="18" t="n">
        <v>55</v>
      </c>
      <c r="E6" s="19" t="s">
        <v>540</v>
      </c>
    </row>
    <row r="7" customFormat="false" ht="15.75" hidden="false" customHeight="true" outlineLevel="0" collapsed="false">
      <c r="A7" s="8" t="n">
        <v>2</v>
      </c>
      <c r="B7" s="20" t="s">
        <v>151</v>
      </c>
      <c r="C7" s="21" t="s">
        <v>541</v>
      </c>
      <c r="D7" s="22" t="n">
        <v>15</v>
      </c>
      <c r="E7" s="23" t="s">
        <v>542</v>
      </c>
    </row>
    <row r="8" customFormat="false" ht="15.75" hidden="false" customHeight="true" outlineLevel="0" collapsed="false">
      <c r="A8" s="4" t="n">
        <v>3</v>
      </c>
      <c r="B8" s="16" t="s">
        <v>543</v>
      </c>
      <c r="C8" s="17" t="s">
        <v>197</v>
      </c>
      <c r="D8" s="18" t="n">
        <v>10</v>
      </c>
      <c r="E8" s="19" t="s">
        <v>544</v>
      </c>
    </row>
    <row r="9" customFormat="false" ht="15.75" hidden="false" customHeight="true" outlineLevel="0" collapsed="false">
      <c r="A9" s="8" t="n">
        <v>4</v>
      </c>
      <c r="B9" s="20" t="s">
        <v>545</v>
      </c>
      <c r="C9" s="21" t="s">
        <v>546</v>
      </c>
      <c r="D9" s="22" t="n">
        <v>5</v>
      </c>
      <c r="E9" s="23" t="s">
        <v>547</v>
      </c>
    </row>
    <row r="10" customFormat="false" ht="15.75" hidden="false" customHeight="true" outlineLevel="0" collapsed="false">
      <c r="A10" s="4" t="n">
        <v>5</v>
      </c>
      <c r="B10" s="16" t="s">
        <v>212</v>
      </c>
      <c r="C10" s="17" t="s">
        <v>213</v>
      </c>
      <c r="D10" s="18" t="n">
        <v>5</v>
      </c>
      <c r="E10" s="19" t="s">
        <v>548</v>
      </c>
    </row>
    <row r="11" customFormat="false" ht="15.75" hidden="false" customHeight="true" outlineLevel="0" collapsed="false">
      <c r="A11" s="8" t="n">
        <v>6</v>
      </c>
      <c r="B11" s="20" t="s">
        <v>549</v>
      </c>
      <c r="C11" s="21" t="s">
        <v>550</v>
      </c>
      <c r="D11" s="22" t="n">
        <v>4</v>
      </c>
      <c r="E11" s="23" t="s">
        <v>551</v>
      </c>
    </row>
    <row r="12" customFormat="false" ht="15.75" hidden="false" customHeight="true" outlineLevel="0" collapsed="false">
      <c r="A12" s="4" t="n">
        <v>7</v>
      </c>
      <c r="B12" s="16" t="s">
        <v>342</v>
      </c>
      <c r="C12" s="17" t="s">
        <v>197</v>
      </c>
      <c r="D12" s="18" t="n">
        <v>6</v>
      </c>
      <c r="E12" s="19" t="s">
        <v>552</v>
      </c>
    </row>
    <row r="13" customFormat="false" ht="15" hidden="false" customHeight="true" outlineLevel="0" collapsed="false">
      <c r="A13" s="24" t="s">
        <v>135</v>
      </c>
      <c r="B13" s="24"/>
      <c r="C13" s="24"/>
      <c r="D13" s="25" t="n">
        <f aca="false">SUM(D6:D12)</f>
        <v>100</v>
      </c>
      <c r="E13" s="26"/>
    </row>
  </sheetData>
  <mergeCells count="5">
    <mergeCell ref="A1:E1"/>
    <mergeCell ref="A2:E2"/>
    <mergeCell ref="A3:E3"/>
    <mergeCell ref="A4:E4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82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553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554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555</v>
      </c>
      <c r="C6" s="17" t="s">
        <v>556</v>
      </c>
      <c r="D6" s="18" t="n">
        <v>75</v>
      </c>
      <c r="E6" s="19" t="s">
        <v>557</v>
      </c>
    </row>
    <row r="7" customFormat="false" ht="15.75" hidden="false" customHeight="true" outlineLevel="0" collapsed="false">
      <c r="A7" s="8" t="n">
        <v>2</v>
      </c>
      <c r="B7" s="20" t="s">
        <v>488</v>
      </c>
      <c r="C7" s="21" t="s">
        <v>197</v>
      </c>
      <c r="D7" s="22" t="n">
        <v>10</v>
      </c>
      <c r="E7" s="23" t="s">
        <v>558</v>
      </c>
    </row>
    <row r="8" customFormat="false" ht="15.75" hidden="false" customHeight="true" outlineLevel="0" collapsed="false">
      <c r="A8" s="4" t="n">
        <v>3</v>
      </c>
      <c r="B8" s="16" t="s">
        <v>102</v>
      </c>
      <c r="C8" s="17" t="s">
        <v>103</v>
      </c>
      <c r="D8" s="18" t="n">
        <v>5</v>
      </c>
      <c r="E8" s="19" t="s">
        <v>559</v>
      </c>
    </row>
    <row r="9" customFormat="false" ht="15.75" hidden="false" customHeight="true" outlineLevel="0" collapsed="false">
      <c r="A9" s="8" t="n">
        <v>4</v>
      </c>
      <c r="B9" s="20" t="s">
        <v>111</v>
      </c>
      <c r="C9" s="21" t="s">
        <v>112</v>
      </c>
      <c r="D9" s="22" t="n">
        <v>4</v>
      </c>
      <c r="E9" s="23" t="s">
        <v>560</v>
      </c>
    </row>
    <row r="10" customFormat="false" ht="15.75" hidden="false" customHeight="true" outlineLevel="0" collapsed="false">
      <c r="A10" s="4" t="n">
        <v>5</v>
      </c>
      <c r="B10" s="16" t="s">
        <v>222</v>
      </c>
      <c r="C10" s="17" t="s">
        <v>223</v>
      </c>
      <c r="D10" s="18" t="n">
        <v>3</v>
      </c>
      <c r="E10" s="19" t="s">
        <v>561</v>
      </c>
    </row>
    <row r="11" customFormat="false" ht="15.75" hidden="false" customHeight="true" outlineLevel="0" collapsed="false">
      <c r="A11" s="8" t="n">
        <v>6</v>
      </c>
      <c r="B11" s="20" t="s">
        <v>342</v>
      </c>
      <c r="C11" s="21" t="s">
        <v>197</v>
      </c>
      <c r="D11" s="22" t="n">
        <v>3</v>
      </c>
      <c r="E11" s="23" t="s">
        <v>562</v>
      </c>
    </row>
    <row r="12" customFormat="false" ht="15" hidden="false" customHeight="true" outlineLevel="0" collapsed="false">
      <c r="A12" s="24" t="s">
        <v>135</v>
      </c>
      <c r="B12" s="24"/>
      <c r="C12" s="24"/>
      <c r="D12" s="25" t="n">
        <f aca="false">SUM(D6:D11)</f>
        <v>100</v>
      </c>
      <c r="E12" s="26"/>
    </row>
  </sheetData>
  <mergeCells count="5">
    <mergeCell ref="A1:E1"/>
    <mergeCell ref="A2:E2"/>
    <mergeCell ref="A3:E3"/>
    <mergeCell ref="A4:E4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84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563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564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565</v>
      </c>
      <c r="C6" s="17" t="s">
        <v>566</v>
      </c>
      <c r="D6" s="18" t="n">
        <v>15</v>
      </c>
      <c r="E6" s="19" t="s">
        <v>567</v>
      </c>
    </row>
    <row r="7" customFormat="false" ht="15.75" hidden="false" customHeight="true" outlineLevel="0" collapsed="false">
      <c r="A7" s="8" t="n">
        <v>2</v>
      </c>
      <c r="B7" s="20" t="s">
        <v>568</v>
      </c>
      <c r="C7" s="21" t="s">
        <v>569</v>
      </c>
      <c r="D7" s="22" t="n">
        <v>10</v>
      </c>
      <c r="E7" s="23" t="s">
        <v>570</v>
      </c>
    </row>
    <row r="8" customFormat="false" ht="15.75" hidden="false" customHeight="true" outlineLevel="0" collapsed="false">
      <c r="A8" s="4" t="n">
        <v>3</v>
      </c>
      <c r="B8" s="16" t="s">
        <v>148</v>
      </c>
      <c r="C8" s="17" t="s">
        <v>149</v>
      </c>
      <c r="D8" s="18" t="n">
        <v>7</v>
      </c>
      <c r="E8" s="19" t="s">
        <v>571</v>
      </c>
    </row>
    <row r="9" customFormat="false" ht="15.75" hidden="false" customHeight="true" outlineLevel="0" collapsed="false">
      <c r="A9" s="8" t="n">
        <v>4</v>
      </c>
      <c r="B9" s="20" t="s">
        <v>178</v>
      </c>
      <c r="C9" s="21" t="s">
        <v>179</v>
      </c>
      <c r="D9" s="22" t="n">
        <v>6</v>
      </c>
      <c r="E9" s="23" t="s">
        <v>572</v>
      </c>
    </row>
    <row r="10" customFormat="false" ht="15.75" hidden="false" customHeight="true" outlineLevel="0" collapsed="false">
      <c r="A10" s="4" t="n">
        <v>5</v>
      </c>
      <c r="B10" s="16" t="s">
        <v>573</v>
      </c>
      <c r="C10" s="17" t="s">
        <v>574</v>
      </c>
      <c r="D10" s="18" t="n">
        <v>6</v>
      </c>
      <c r="E10" s="19" t="s">
        <v>575</v>
      </c>
    </row>
    <row r="11" customFormat="false" ht="15.75" hidden="false" customHeight="true" outlineLevel="0" collapsed="false">
      <c r="A11" s="8" t="n">
        <v>6</v>
      </c>
      <c r="B11" s="20" t="s">
        <v>576</v>
      </c>
      <c r="C11" s="21" t="s">
        <v>577</v>
      </c>
      <c r="D11" s="22" t="n">
        <v>6</v>
      </c>
      <c r="E11" s="23" t="s">
        <v>578</v>
      </c>
    </row>
    <row r="12" customFormat="false" ht="15.75" hidden="false" customHeight="true" outlineLevel="0" collapsed="false">
      <c r="A12" s="4" t="n">
        <v>7</v>
      </c>
      <c r="B12" s="16" t="s">
        <v>579</v>
      </c>
      <c r="C12" s="17" t="s">
        <v>580</v>
      </c>
      <c r="D12" s="18" t="n">
        <v>5</v>
      </c>
      <c r="E12" s="19" t="s">
        <v>581</v>
      </c>
    </row>
    <row r="13" customFormat="false" ht="15.75" hidden="false" customHeight="true" outlineLevel="0" collapsed="false">
      <c r="A13" s="8" t="n">
        <v>8</v>
      </c>
      <c r="B13" s="20" t="s">
        <v>142</v>
      </c>
      <c r="C13" s="21" t="s">
        <v>143</v>
      </c>
      <c r="D13" s="22" t="n">
        <v>5</v>
      </c>
      <c r="E13" s="23" t="s">
        <v>582</v>
      </c>
    </row>
    <row r="14" customFormat="false" ht="15.75" hidden="false" customHeight="true" outlineLevel="0" collapsed="false">
      <c r="A14" s="4" t="n">
        <v>9</v>
      </c>
      <c r="B14" s="16" t="s">
        <v>583</v>
      </c>
      <c r="C14" s="17" t="s">
        <v>197</v>
      </c>
      <c r="D14" s="18" t="n">
        <v>5</v>
      </c>
      <c r="E14" s="19" t="s">
        <v>584</v>
      </c>
    </row>
    <row r="15" customFormat="false" ht="15.75" hidden="false" customHeight="true" outlineLevel="0" collapsed="false">
      <c r="A15" s="8" t="n">
        <v>10</v>
      </c>
      <c r="B15" s="20" t="s">
        <v>585</v>
      </c>
      <c r="C15" s="21" t="s">
        <v>586</v>
      </c>
      <c r="D15" s="22" t="n">
        <v>4</v>
      </c>
      <c r="E15" s="23" t="s">
        <v>587</v>
      </c>
    </row>
    <row r="16" customFormat="false" ht="15.75" hidden="false" customHeight="true" outlineLevel="0" collapsed="false">
      <c r="A16" s="4" t="n">
        <v>11</v>
      </c>
      <c r="B16" s="16" t="s">
        <v>408</v>
      </c>
      <c r="C16" s="17" t="s">
        <v>409</v>
      </c>
      <c r="D16" s="18" t="n">
        <v>4</v>
      </c>
      <c r="E16" s="19" t="s">
        <v>588</v>
      </c>
    </row>
    <row r="17" customFormat="false" ht="15.75" hidden="false" customHeight="true" outlineLevel="0" collapsed="false">
      <c r="A17" s="8" t="n">
        <v>12</v>
      </c>
      <c r="B17" s="20" t="s">
        <v>589</v>
      </c>
      <c r="C17" s="21" t="s">
        <v>197</v>
      </c>
      <c r="D17" s="22" t="n">
        <v>27</v>
      </c>
      <c r="E17" s="23" t="s">
        <v>590</v>
      </c>
    </row>
    <row r="18" customFormat="false" ht="15" hidden="false" customHeight="true" outlineLevel="0" collapsed="false">
      <c r="A18" s="24" t="s">
        <v>135</v>
      </c>
      <c r="B18" s="24"/>
      <c r="C18" s="24"/>
      <c r="D18" s="25" t="n">
        <f aca="false">SUM(D6:D17)</f>
        <v>100</v>
      </c>
      <c r="E18" s="26"/>
    </row>
  </sheetData>
  <mergeCells count="5">
    <mergeCell ref="A1:E1"/>
    <mergeCell ref="A2:E2"/>
    <mergeCell ref="A3:E3"/>
    <mergeCell ref="A4:E4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87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591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592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593</v>
      </c>
      <c r="C6" s="17" t="s">
        <v>197</v>
      </c>
      <c r="D6" s="18" t="n">
        <v>20</v>
      </c>
      <c r="E6" s="19" t="s">
        <v>594</v>
      </c>
    </row>
    <row r="7" customFormat="false" ht="15.75" hidden="false" customHeight="true" outlineLevel="0" collapsed="false">
      <c r="A7" s="8" t="n">
        <v>2</v>
      </c>
      <c r="B7" s="20" t="s">
        <v>148</v>
      </c>
      <c r="C7" s="21" t="s">
        <v>149</v>
      </c>
      <c r="D7" s="22" t="n">
        <v>8</v>
      </c>
      <c r="E7" s="23" t="s">
        <v>595</v>
      </c>
    </row>
    <row r="8" customFormat="false" ht="15.75" hidden="false" customHeight="true" outlineLevel="0" collapsed="false">
      <c r="A8" s="4" t="n">
        <v>3</v>
      </c>
      <c r="B8" s="16" t="s">
        <v>596</v>
      </c>
      <c r="C8" s="17" t="s">
        <v>597</v>
      </c>
      <c r="D8" s="18" t="n">
        <v>7</v>
      </c>
      <c r="E8" s="19" t="s">
        <v>598</v>
      </c>
    </row>
    <row r="9" customFormat="false" ht="15.75" hidden="false" customHeight="true" outlineLevel="0" collapsed="false">
      <c r="A9" s="8" t="n">
        <v>4</v>
      </c>
      <c r="B9" s="20" t="s">
        <v>290</v>
      </c>
      <c r="C9" s="21" t="s">
        <v>291</v>
      </c>
      <c r="D9" s="22" t="n">
        <v>7</v>
      </c>
      <c r="E9" s="23" t="s">
        <v>599</v>
      </c>
    </row>
    <row r="10" customFormat="false" ht="15.75" hidden="false" customHeight="true" outlineLevel="0" collapsed="false">
      <c r="A10" s="4" t="n">
        <v>5</v>
      </c>
      <c r="B10" s="16" t="s">
        <v>264</v>
      </c>
      <c r="C10" s="17" t="s">
        <v>265</v>
      </c>
      <c r="D10" s="18" t="n">
        <v>6</v>
      </c>
      <c r="E10" s="19" t="s">
        <v>600</v>
      </c>
    </row>
    <row r="11" customFormat="false" ht="15.75" hidden="false" customHeight="true" outlineLevel="0" collapsed="false">
      <c r="A11" s="8" t="n">
        <v>6</v>
      </c>
      <c r="B11" s="20" t="s">
        <v>601</v>
      </c>
      <c r="C11" s="21" t="s">
        <v>242</v>
      </c>
      <c r="D11" s="22" t="n">
        <v>5</v>
      </c>
      <c r="E11" s="23" t="s">
        <v>602</v>
      </c>
    </row>
    <row r="12" customFormat="false" ht="15.75" hidden="false" customHeight="true" outlineLevel="0" collapsed="false">
      <c r="A12" s="4" t="n">
        <v>7</v>
      </c>
      <c r="B12" s="16" t="s">
        <v>175</v>
      </c>
      <c r="C12" s="17" t="s">
        <v>176</v>
      </c>
      <c r="D12" s="18" t="n">
        <v>5</v>
      </c>
      <c r="E12" s="19" t="s">
        <v>603</v>
      </c>
    </row>
    <row r="13" customFormat="false" ht="15.75" hidden="false" customHeight="true" outlineLevel="0" collapsed="false">
      <c r="A13" s="8" t="n">
        <v>8</v>
      </c>
      <c r="B13" s="20" t="s">
        <v>604</v>
      </c>
      <c r="C13" s="21" t="s">
        <v>605</v>
      </c>
      <c r="D13" s="22" t="n">
        <v>5</v>
      </c>
      <c r="E13" s="23" t="s">
        <v>606</v>
      </c>
    </row>
    <row r="14" customFormat="false" ht="15.75" hidden="false" customHeight="true" outlineLevel="0" collapsed="false">
      <c r="A14" s="4" t="n">
        <v>9</v>
      </c>
      <c r="B14" s="16" t="s">
        <v>607</v>
      </c>
      <c r="C14" s="17" t="s">
        <v>608</v>
      </c>
      <c r="D14" s="18" t="n">
        <v>4</v>
      </c>
      <c r="E14" s="19" t="s">
        <v>609</v>
      </c>
    </row>
    <row r="15" customFormat="false" ht="15.75" hidden="false" customHeight="true" outlineLevel="0" collapsed="false">
      <c r="A15" s="8" t="n">
        <v>10</v>
      </c>
      <c r="B15" s="20" t="s">
        <v>374</v>
      </c>
      <c r="C15" s="21" t="s">
        <v>375</v>
      </c>
      <c r="D15" s="22" t="n">
        <v>4</v>
      </c>
      <c r="E15" s="23" t="s">
        <v>610</v>
      </c>
    </row>
    <row r="16" customFormat="false" ht="15.75" hidden="false" customHeight="true" outlineLevel="0" collapsed="false">
      <c r="A16" s="4" t="n">
        <v>11</v>
      </c>
      <c r="B16" s="16" t="s">
        <v>123</v>
      </c>
      <c r="C16" s="17" t="s">
        <v>124</v>
      </c>
      <c r="D16" s="18" t="n">
        <v>4</v>
      </c>
      <c r="E16" s="19" t="s">
        <v>611</v>
      </c>
    </row>
    <row r="17" customFormat="false" ht="15.75" hidden="false" customHeight="true" outlineLevel="0" collapsed="false">
      <c r="A17" s="8" t="n">
        <v>12</v>
      </c>
      <c r="B17" s="20" t="s">
        <v>126</v>
      </c>
      <c r="C17" s="21" t="s">
        <v>127</v>
      </c>
      <c r="D17" s="22" t="n">
        <v>4</v>
      </c>
      <c r="E17" s="23" t="s">
        <v>612</v>
      </c>
    </row>
    <row r="18" customFormat="false" ht="15.75" hidden="false" customHeight="true" outlineLevel="0" collapsed="false">
      <c r="A18" s="4" t="n">
        <v>13</v>
      </c>
      <c r="B18" s="16" t="s">
        <v>613</v>
      </c>
      <c r="C18" s="17" t="s">
        <v>197</v>
      </c>
      <c r="D18" s="18" t="n">
        <v>21</v>
      </c>
      <c r="E18" s="19" t="s">
        <v>614</v>
      </c>
    </row>
    <row r="19" customFormat="false" ht="15" hidden="false" customHeight="true" outlineLevel="0" collapsed="false">
      <c r="A19" s="24" t="s">
        <v>135</v>
      </c>
      <c r="B19" s="24"/>
      <c r="C19" s="24"/>
      <c r="D19" s="25" t="n">
        <f aca="false">SUM(D6:D18)</f>
        <v>100</v>
      </c>
      <c r="E19" s="26"/>
    </row>
  </sheetData>
  <mergeCells count="5">
    <mergeCell ref="A1:E1"/>
    <mergeCell ref="A2:E2"/>
    <mergeCell ref="A3:E3"/>
    <mergeCell ref="A4:E4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3" t="s">
        <v>91</v>
      </c>
      <c r="B1" s="13"/>
      <c r="C1" s="13"/>
      <c r="D1" s="13"/>
      <c r="E1" s="13"/>
    </row>
    <row r="2" customFormat="false" ht="18" hidden="false" customHeight="true" outlineLevel="0" collapsed="false">
      <c r="A2" s="14" t="s">
        <v>615</v>
      </c>
      <c r="B2" s="14"/>
      <c r="C2" s="14"/>
      <c r="D2" s="14"/>
      <c r="E2" s="14"/>
    </row>
    <row r="3" customFormat="false" ht="42" hidden="false" customHeight="true" outlineLevel="0" collapsed="false">
      <c r="A3" s="15" t="s">
        <v>616</v>
      </c>
      <c r="B3" s="15"/>
      <c r="C3" s="15"/>
      <c r="D3" s="15"/>
      <c r="E3" s="15"/>
    </row>
    <row r="4" customFormat="false" ht="15.75" hidden="false" customHeight="true" outlineLevel="0" collapsed="false">
      <c r="A4" s="27" t="s">
        <v>138</v>
      </c>
      <c r="B4" s="27"/>
      <c r="C4" s="27"/>
      <c r="D4" s="27"/>
      <c r="E4" s="27"/>
    </row>
    <row r="5" customFormat="false" ht="19.5" hidden="false" customHeight="true" outlineLevel="0" collapsed="false">
      <c r="A5" s="3" t="s">
        <v>2</v>
      </c>
      <c r="B5" s="3" t="s">
        <v>98</v>
      </c>
      <c r="C5" s="3" t="s">
        <v>99</v>
      </c>
      <c r="D5" s="3" t="s">
        <v>100</v>
      </c>
      <c r="E5" s="3" t="s">
        <v>101</v>
      </c>
    </row>
    <row r="6" customFormat="false" ht="15.75" hidden="false" customHeight="true" outlineLevel="0" collapsed="false">
      <c r="A6" s="4" t="n">
        <v>1</v>
      </c>
      <c r="B6" s="16" t="s">
        <v>617</v>
      </c>
      <c r="C6" s="17" t="s">
        <v>618</v>
      </c>
      <c r="D6" s="18" t="n">
        <v>60</v>
      </c>
      <c r="E6" s="19" t="s">
        <v>619</v>
      </c>
    </row>
    <row r="7" customFormat="false" ht="15.75" hidden="false" customHeight="true" outlineLevel="0" collapsed="false">
      <c r="A7" s="8" t="n">
        <v>2</v>
      </c>
      <c r="B7" s="20" t="s">
        <v>620</v>
      </c>
      <c r="C7" s="21" t="s">
        <v>197</v>
      </c>
      <c r="D7" s="22" t="n">
        <v>20</v>
      </c>
      <c r="E7" s="23" t="s">
        <v>621</v>
      </c>
    </row>
    <row r="8" customFormat="false" ht="15.75" hidden="false" customHeight="true" outlineLevel="0" collapsed="false">
      <c r="A8" s="4" t="n">
        <v>3</v>
      </c>
      <c r="B8" s="16" t="s">
        <v>622</v>
      </c>
      <c r="C8" s="17" t="s">
        <v>197</v>
      </c>
      <c r="D8" s="18" t="n">
        <v>5</v>
      </c>
      <c r="E8" s="19" t="s">
        <v>623</v>
      </c>
    </row>
    <row r="9" customFormat="false" ht="15.75" hidden="false" customHeight="true" outlineLevel="0" collapsed="false">
      <c r="A9" s="8" t="n">
        <v>4</v>
      </c>
      <c r="B9" s="20" t="s">
        <v>624</v>
      </c>
      <c r="C9" s="21" t="s">
        <v>197</v>
      </c>
      <c r="D9" s="22" t="n">
        <v>8</v>
      </c>
      <c r="E9" s="23" t="s">
        <v>625</v>
      </c>
    </row>
    <row r="10" customFormat="false" ht="15.75" hidden="false" customHeight="true" outlineLevel="0" collapsed="false">
      <c r="A10" s="4" t="n">
        <v>5</v>
      </c>
      <c r="B10" s="16" t="s">
        <v>626</v>
      </c>
      <c r="C10" s="17" t="s">
        <v>365</v>
      </c>
      <c r="D10" s="18" t="n">
        <v>7</v>
      </c>
      <c r="E10" s="19" t="s">
        <v>627</v>
      </c>
    </row>
    <row r="11" customFormat="false" ht="15" hidden="false" customHeight="true" outlineLevel="0" collapsed="false">
      <c r="A11" s="24" t="s">
        <v>135</v>
      </c>
      <c r="B11" s="24"/>
      <c r="C11" s="24"/>
      <c r="D11" s="25" t="n">
        <f aca="false">SUM(D6:D10)</f>
        <v>100</v>
      </c>
      <c r="E11" s="26"/>
    </row>
  </sheetData>
  <mergeCells count="5">
    <mergeCell ref="A1:E1"/>
    <mergeCell ref="A2:E2"/>
    <mergeCell ref="A3:E3"/>
    <mergeCell ref="A4:E4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2026-05-19T10:33:12Z</dcterms:created>
  <dc:creator>openpyxl</dc:creator>
  <dc:description/>
  <dc:language>en-US</dc:language>
  <cp:lastModifiedBy/>
  <dcterms:modified xsi:type="dcterms:W3CDTF">2026-05-19T10:33:12Z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